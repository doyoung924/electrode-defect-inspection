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촬영기록" sheetId="1" state="visible" r:id="rId3"/>
    <sheet name="점도조건" sheetId="2" state="visible" r:id="rId4"/>
    <sheet name="결함원인매핑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<sst xmlns="http://schemas.openxmlformats.org/spreadsheetml/2006/main" count="580" uniqueCount="244">
  <si>
    <t xml:space="preserve">시편 제작·촬영 기록  |  battery-process-vlm / specimens</t>
  </si>
  <si>
    <t xml:space="preserve">7행부터 입력합니다. P01~P10은 번호만 예약해 둔 행으로, 촬영 후 나머지 칸을 채웁니다(결함유형을 먼저 넣으면 관측 장수가 미리 올라감).</t>
  </si>
  <si>
    <t xml:space="preserve">결함유형=무엇이 보이는가(정답 라벨), 생성방법=왜 생겼는가(원인). 둘을 분리해야 결함–원인 매핑표가 됩니다.</t>
  </si>
  <si>
    <t xml:space="preserve">촬영높이는 전체 촬영 동안 고정합니다. 바꾸면 픽셀→mm 배율이 달라져 이전 컷과 비교가 불가능해집니다.</t>
  </si>
  <si>
    <t xml:space="preserve">specimen_id</t>
  </si>
  <si>
    <t xml:space="preserve">결함유형</t>
  </si>
  <si>
    <t xml:space="preserve">생성방법</t>
  </si>
  <si>
    <t xml:space="preserve">점도칸</t>
  </si>
  <si>
    <t xml:space="preserve">물:물감</t>
  </si>
  <si>
    <t xml:space="preserve">기재면</t>
  </si>
  <si>
    <t xml:space="preserve">조명조건</t>
  </si>
  <si>
    <t xml:space="preserve">촬영높이(cm)</t>
  </si>
  <si>
    <t xml:space="preserve">파일명</t>
  </si>
  <si>
    <t xml:space="preserve">결함개수</t>
  </si>
  <si>
    <t xml:space="preserve">공정대응</t>
  </si>
  <si>
    <t xml:space="preserve">비고</t>
  </si>
  <si>
    <t xml:space="preserve">먼지밀도(개/cm²)</t>
  </si>
  <si>
    <t xml:space="preserve">먼지등급(자동)</t>
  </si>
  <si>
    <t xml:space="preserve">N01</t>
  </si>
  <si>
    <t xml:space="preserve">1:0.5</t>
  </si>
  <si>
    <t xml:space="preserve">무광</t>
  </si>
  <si>
    <t xml:space="preserve">측면좌 15도</t>
  </si>
  <si>
    <t xml:space="preserve">IMG_7275.jpeg</t>
  </si>
  <si>
    <t xml:space="preserve">판정 제외. 60ml 신제품 + 칸2 비율 → 묽어서 호일에서 튕김, 반투명 줄무늬. 카드 가로·여러 번 밀기. 원액 전환 근거. 라벨은 촬영 후 결정</t>
  </si>
  <si>
    <t xml:space="preserve">N02</t>
  </si>
  <si>
    <t xml:space="preserve">원액</t>
  </si>
  <si>
    <t xml:space="preserve">IMG_7276.jpeg</t>
  </si>
  <si>
    <t xml:space="preserve">판정 제외. 원액으로 전면 도포는 됨. 카드 가로로 여러 번 밀어 겹침·두께 불균일. 라벨은 촬영 후 결정</t>
  </si>
  <si>
    <t xml:space="preserve">N03</t>
  </si>
  <si>
    <t xml:space="preserve">none</t>
  </si>
  <si>
    <t xml:space="preserve">정상 도포</t>
  </si>
  <si>
    <t xml:space="preserve">IMG_7273.jpeg</t>
  </si>
  <si>
    <t xml:space="preserve">—</t>
  </si>
  <si>
    <t xml:space="preserve">정상. 카드 긴 변(띠 폭 약 8~9cm, 원본 측정)·1회 밀기 조건 확정. 하단 1/4 지점 가로 턱(당기다 속도 저하)</t>
  </si>
  <si>
    <t xml:space="preserve">A</t>
  </si>
  <si>
    <t xml:space="preserve">N04</t>
  </si>
  <si>
    <t xml:space="preserve">IMG_7278.jpeg</t>
  </si>
  <si>
    <t xml:space="preserve">정상(직접 확인). 왼쪽 위 물감 삐짐, 시작부 윗가장자리 들쭉날쭉. 상단 밝은 부분은 반사광</t>
  </si>
  <si>
    <t xml:space="preserve">N05</t>
  </si>
  <si>
    <t xml:space="preserve">IMG_7284.jpeg</t>
  </si>
  <si>
    <t xml:space="preserve">정상. 특이사항 없음. 최종 컷 IMG_7284(먼지 제거·흰 종이 제자리). 미사용: 7281(띠 위 먼지 다수), 7282(흰 종이 밀림)</t>
  </si>
  <si>
    <t xml:space="preserve">B</t>
  </si>
  <si>
    <t xml:space="preserve">N06</t>
  </si>
  <si>
    <t xml:space="preserve">IMG_7286.jpeg</t>
  </si>
  <si>
    <t xml:space="preserve">정상. 끝부분 왼쪽으로 꼬리. 최종 컷 IMG_7286. 미사용: 7285(자 누락·어두움)</t>
  </si>
  <si>
    <t xml:space="preserve">N07</t>
  </si>
  <si>
    <t xml:space="preserve">IMG_7298.jpeg</t>
  </si>
  <si>
    <t xml:space="preserve">정상. 건조 중 내려앉은 먼지를 불어/쓸어 제거 후 재촬영 → N05 수준. 최종 컷 IMG_7298. 미사용: 7296(먼지 다량), 7297(흰 종이 누락). 제작 조건은 N03~N06과 동일 가정</t>
  </si>
  <si>
    <t xml:space="preserve">N08</t>
  </si>
  <si>
    <t xml:space="preserve">IMG_7299.jpeg</t>
  </si>
  <si>
    <t xml:space="preserve">판정 제외. 띠 오른쪽 중간(자 10cm 높이)에 길이 3~4mm 이물(보풀 추정)이 물감에 박혀 볼록 튀어나옴 → 이물 혼입 결함 샘플로 보관. 오른쪽 아래 흰 부분은 두꺼운 물감 가장자리 반사(미도포 아님). 띠·호일 위 먼지 중간 수준. 제작 조건은 N03~N07과 동일 가정</t>
  </si>
  <si>
    <t xml:space="preserve">N09</t>
  </si>
  <si>
    <t xml:space="preserve">IMG_7301.jpeg</t>
  </si>
  <si>
    <t xml:space="preserve">정상. 띠 위 미세 먼지는 N05·N07 수준(아래쪽이 조금 더 많음), 박힌 이물 없음. 맨 호일 쪽 먼지는 많지만 검사 영역 밖. 제작 조건은 N03~N07과 동일 가정</t>
  </si>
  <si>
    <t xml:space="preserve">N10</t>
  </si>
  <si>
    <t xml:space="preserve">IMG_7302.jpeg</t>
  </si>
  <si>
    <t xml:space="preserve">정상. 띠 위 먼지 적음, 박힌 이물 없음. 왼쪽 가장자리 중간에 물감 방울 모양 돌기(가장자리 불균일). 제작 조건은 N03~N07과 동일 가정</t>
  </si>
  <si>
    <t xml:space="preserve">N11</t>
  </si>
  <si>
    <t xml:space="preserve">IMG_7303.jpeg</t>
  </si>
  <si>
    <t xml:space="preserve">정상. 끝부분 오른쪽으로 길게 꼬리, 오른쪽 가장자리 턱. 띠 중간~아래 미세 먼지는 N05·N09 수준, 박힌 이물 없음. 제작 조건은 N03~N07과 동일 가정</t>
  </si>
  <si>
    <t xml:space="preserve">N12</t>
  </si>
  <si>
    <t xml:space="preserve">IMG_7305.jpeg</t>
  </si>
  <si>
    <t xml:space="preserve">판정 제외. 띠 위쪽 1/4 지점에 길이 약 1cm 섬유(머리카락/보풀 추정)가 불어도 남음 → 물감에 박힌 이물. N08과 같은 기준으로 이물 혼입 결함 샘플로 보관. 그 외 먼지 적음. 최종 컷 IMG_7305, 미사용 7304(자 누락). 제작 조건은 N03~N07과 동일 가정</t>
  </si>
  <si>
    <t xml:space="preserve">N13</t>
  </si>
  <si>
    <t xml:space="preserve">IMG_7328.jpeg</t>
  </si>
  <si>
    <t xml:space="preserve">정상(검사 영역 기준). 띠 안쪽은 먼지 매우 적고 이물 없음. 왼쪽 가장자리 아래 절반이 끊기고 튐(가장자리 미도포 형태), 끝부분 두 갈래로 갈라짐 → 검사 영역(가장자리 5mm·위아래 1cm 제외) 밖. 가장자리는 uncoated_edge 참고 샘플로도 활용 가능. 제작 조건은 N03~N07과 동일 가정</t>
  </si>
  <si>
    <t xml:space="preserve">N14</t>
  </si>
  <si>
    <t xml:space="preserve">IMG_7329.jpeg</t>
  </si>
  <si>
    <t xml:space="preserve">정상(검사 영역 기준). 미세 먼지 N05·N09 수준. 띠 위쪽 1/3 왼편에 1~2mm 밝은 입자 2개(표면 먼지 추정) — PatchCore 결과에서 오탐 원인 여부 확인. 끝부분 들쭉날쭉·왼쪽 가장자리 튐은 검사 영역 밖. 제작 조건은 N03~N07과 동일 가정</t>
  </si>
  <si>
    <t xml:space="preserve">N15</t>
  </si>
  <si>
    <t xml:space="preserve">streak</t>
  </si>
  <si>
    <t xml:space="preserve">IMG_7330.jpeg</t>
  </si>
  <si>
    <t xml:space="preserve">판정 제외 → 자연 발생 줄무늬(S) 결함 샘플. 띠 아래쪽 1/3, 왼쪽 가장자리에서 약 1.5cm 안쪽에 길이 약 2.5cm·폭 1mm 미만 세로 선으로 호일이 비침(검사 영역 안). 원인 미상 — 카드 날의 굳은 물감/흠 또는 입자가 끌린 것으로 추정. 그 외 띠 안쪽 깨끗. 제작 조건은 N03~N07과 동일 가정</t>
  </si>
  <si>
    <t xml:space="preserve">N16</t>
  </si>
  <si>
    <t xml:space="preserve">IMG_7332.jpeg</t>
  </si>
  <si>
    <t xml:space="preserve">정상(검사 영역 기준). 띠 안쪽 먼지 매우 적고 이물·줄무늬 없음. 아래쪽에 물감 두께 차이로 생긴 희미한 곡선 반사(정상 편차). 끝부분 갈라짐·왼쪽 가장자리 방울은 검사 영역 밖. 제작 조건은 N03~N07과 동일 가정</t>
  </si>
  <si>
    <t xml:space="preserve">N17</t>
  </si>
  <si>
    <t xml:space="preserve">IMG_7335.jpeg</t>
  </si>
  <si>
    <t xml:space="preserve">판정 제외 → 줄무늬(S) 결함 샘플. 띠 아래쪽 왼편(왼쪽 가장자리에서 약 1.5cm 안쪽, 아래 끝에서 약 1~2.5cm)에 길이 1~1.5cm 가는 세로선 3~4개로 호일 비침 — 검사 영역(아래 1cm 제외)에 걸침. 끝부분에서 카드가 들리며 생긴 것으로 추정. 위·중간은 깨끗. 제작 조건은 N03~N07과 동일 가정</t>
  </si>
  <si>
    <t xml:space="preserve">N18</t>
  </si>
  <si>
    <t xml:space="preserve">IMG_7334.jpeg</t>
  </si>
  <si>
    <t xml:space="preserve">정상(검사 영역 기준). 띠 안쪽 깨끗, 1~2mm 짧은 보풀 조각 2~3개(표면 먼지 추정). 아래 끝 들쭉날쭉은 검사 영역 밖. 제작 조건은 N03~N07과 동일 가정</t>
  </si>
  <si>
    <t xml:space="preserve">N19</t>
  </si>
  <si>
    <t xml:space="preserve">IMG_7339.jpeg</t>
  </si>
  <si>
    <t xml:space="preserve">정상(먼지 B등급). 재촬영 후 위쪽은 깨끗해졌으나 중간~아래에 미세 먼지 많이 남음(물감에 박힌 것으로 추정), 이물·줄무늬 없음 → 학습 1순위에서 제외하고 예비로 보관. 최종 컷 IMG_7339, 미사용 7337(먼지·흰 종이 잘림). 제작 조건은 N03~N07과 동일 가정</t>
  </si>
  <si>
    <t xml:space="preserve">N20</t>
  </si>
  <si>
    <t xml:space="preserve">IMG_7340.jpeg</t>
  </si>
  <si>
    <t xml:space="preserve">정상(먼지 A등급). 띠 안쪽 매우 깨끗, 이물·줄무늬 없음. 아래 끝 1cm 이내의 흰 틈과 왼쪽 가장자리 물감 튐은 검사 영역 밖. 촬영 시 판이 밀려 화면 오른쪽 위에 바닥이 보임. 제작 조건은 N03~N07과 동일 가정</t>
  </si>
  <si>
    <t xml:space="preserve">N21</t>
  </si>
  <si>
    <t xml:space="preserve">IMG_7342.jpeg</t>
  </si>
  <si>
    <t xml:space="preserve">정상(먼지 A등급). 띠 안쪽 지금까지 중 가장 깨끗, 먼지·이물·줄무늬 거의 없음. 오른쪽 가장자리 물감 방울은 검사 영역 밖. 제작 조건은 N03~N07과 동일 가정</t>
  </si>
  <si>
    <t xml:space="preserve">N22</t>
  </si>
  <si>
    <t xml:space="preserve">IMG_7341.jpeg</t>
  </si>
  <si>
    <t xml:space="preserve">정상(먼지 A등급). 위쪽에 옅은 미세 먼지, 중간·아래 깨끗. 이물·줄무늬 없음. 띠가 아래로 갈수록 넓어지고 약간 기울어짐(카드가 비스듬히 지나감). 오른쪽 아래 가장자리 물감 갈래는 검사 영역 밖. 제작 조건은 N03~N07과 동일 가정</t>
  </si>
  <si>
    <t xml:space="preserve">N23</t>
  </si>
  <si>
    <t xml:space="preserve">IMG_7343.jpeg</t>
  </si>
  <si>
    <t xml:space="preserve">정상(먼지 B등급). 위쪽은 깨끗하나 중간~아래에 미세 먼지 많음(N19 수준), 이물·줄무늬 없음. 위쪽 곡선 반사는 물감 두께 차이. 제작 조건은 N03~N07과 동일 가정</t>
  </si>
  <si>
    <t xml:space="preserve">N24</t>
  </si>
  <si>
    <t xml:space="preserve">IMG_7345.jpeg</t>
  </si>
  <si>
    <t xml:space="preserve">정상(먼지 A등급). 띠 안쪽 깨끗, 이물·줄무늬 없음. 오른쪽 위 가장자리 물결 턱과 아래 끝은 검사 영역 밖. 제작 조건은 N03~N07과 동일 가정</t>
  </si>
  <si>
    <t xml:space="preserve">N25</t>
  </si>
  <si>
    <t xml:space="preserve">IMG_7438.jpeg</t>
  </si>
  <si>
    <t xml:space="preserve">정상(먼지 B등급). 띠 중간에 미세 먼지 띠 모양으로 많음, 이물·줄무늬 없음. 오른쪽 가장자리 튐·아래 끝 갈라짐은 검사 영역 밖. 띠가 화면 오른쪽으로 치우치고 약간 기울어짐. 번호 표기 고쳐 쓴 흔적(25로 판독). 제작 조건은 N03~N07과 동일 가정</t>
  </si>
  <si>
    <t xml:space="preserve">N26</t>
  </si>
  <si>
    <t xml:space="preserve">IMG_7439.jpeg</t>
  </si>
  <si>
    <t xml:space="preserve">정상(먼지 B등급). 위쪽 깨끗, 중간~아래에 미세 먼지가 군데군데 뭉쳐 있음. 아래쪽 오른편에 약 1mm 밝은 점 1개(표면 먼지 추정, PatchCore 오탐 여부 확인). 이물·줄무늬 없음. 촬영 시 판이 밀려 화면 아래 끝에 바닥이 보임. 제작 조건은 N03~N07과 동일 가정</t>
  </si>
  <si>
    <t xml:space="preserve">N27</t>
  </si>
  <si>
    <t xml:space="preserve">IMG_7440.jpeg</t>
  </si>
  <si>
    <t xml:space="preserve">정상(먼지 A등급, 눈 판정). 위·중간은 매우 깨끗, 아래 1/4에만 미세 먼지 몰림. 이물·줄무늬 없음. 오른쪽 아래 가장자리 갈라짐은 검사 영역 밖. 띠가 화면 오른쪽으로 약간 치우침. 제작 조건은 N03~N07과 동일 가정</t>
  </si>
  <si>
    <t xml:space="preserve">N28</t>
  </si>
  <si>
    <t xml:space="preserve">IMG_7441.jpeg</t>
  </si>
  <si>
    <t xml:space="preserve">정상(먼지 A등급). 띠 안쪽 전체가 매우 깨끗, 먼지·이물·줄무늬 거의 없음. 오른쪽 아래 가장자리 긁힘 모양과 끝부분은 검사 영역 밖. 제작 조건은 N03~N07과 동일 가정</t>
  </si>
  <si>
    <t xml:space="preserve">N29</t>
  </si>
  <si>
    <t xml:space="preserve">IMG_7442.jpeg</t>
  </si>
  <si>
    <t xml:space="preserve">판정 제외 → 미세 줄무늬(S) 결함 샘플. 띠 아래쪽 1/3에 길이 약 3~4mm, 폭 1mm 미만 세로 선 4~5개(도포 방향과 나란, 호일 비침) — 검사 영역 안. 카드 날에 낀 미세 입자가 끌린 것으로 추정. 위쪽은 미세 먼지 중간 수준. 제작 조건은 N03~N07과 동일 가정</t>
  </si>
  <si>
    <t xml:space="preserve">N30</t>
  </si>
  <si>
    <t xml:space="preserve">IMG_7443.jpeg</t>
  </si>
  <si>
    <t xml:space="preserve">정상(먼지 A등급). 띠 안쪽 매우 깨끗. 아래 끝 가운데에 끝선에서 위로 약 1.3cm 파고든 홈(호일 비침)과 오른쪽 아래 끝 줄 자국 — 끝선과 이어진 가장자리 불균일로 보고 검사 영역에서 제외(띠 마스크 기준 5mm 안쪽만 검사). 오른쪽 가장자리 물감 튐도 영역 밖. 제작 조건은 N03~N07과 동일 가정</t>
  </si>
  <si>
    <t xml:space="preserve">N31</t>
  </si>
  <si>
    <t xml:space="preserve">IMG_7451.jpeg</t>
  </si>
  <si>
    <t xml:space="preserve">정상(먼지 B등급). 띠 전체에 미세 먼지 중간~많음. 아래 끝에서 약 1.6cm 위에 2~3mm 곡선 모양 밝은 조각 1개(표면 보풀 추정, N18과 같은 기준). 아래 끝 1cm 안의 흰 줄 자국들은 검사 영역 밖. 이물이 박힌 흔적은 없음. 번호는 화면 왼쪽 끝에 잘려 31로 판독. 최종 컷 IMG_7451(흰 종이 제자리), 미사용 7450(흰 종이 벗어남). 제작 조건은 N03~N07과 동일 가정</t>
  </si>
  <si>
    <t xml:space="preserve">N32</t>
  </si>
  <si>
    <t xml:space="preserve">IMG_7452.jpeg</t>
  </si>
  <si>
    <t xml:space="preserve">정상(먼지 A등급, 눈 판정). 위·중간은 먼지 적고 아래쪽 오른편에 미세 먼지 조금 더 있음. 이물·줄무늬 없음. 오른쪽 가장자리 물감 방울과 아래 끝 줄 자국은 검사 영역 밖. 제작 조건은 N03~N07과 동일 가정</t>
  </si>
  <si>
    <t xml:space="preserve">N33</t>
  </si>
  <si>
    <t xml:space="preserve">IMG_7453.jpeg</t>
  </si>
  <si>
    <t xml:space="preserve">정상(먼지 B등급). 띠 전체에 미세 먼지 중간 수준, 아래쪽이 더 많음. 이물·줄무늬 없음. 왼쪽 가장자리 턱과 아래 끝 방울은 검사 영역 밖. 띠가 화면 왼쪽으로 약간 치우침. 제작 조건은 N03~N07과 동일 가정</t>
  </si>
  <si>
    <t xml:space="preserve">N34</t>
  </si>
  <si>
    <t xml:space="preserve">IMG_7455.jpeg</t>
  </si>
  <si>
    <t xml:space="preserve">정상(먼지 B등급, 예비). 첫 컷(7454)의 오른쪽 가장자리 가로선은 불어서 사라짐 → 표면 섬유였음. 재촬영 컷(7455)에는 왼쪽 위(왼쪽 가장자리에서 약 1cm 안쪽, 자 4~5cm 높이)에 길이 약 7mm 가는 섬유가 새로 얹혀 있음(표면 추정) → 학습에서 제외하고 예비로 보관. 미세 먼지 중간 수준. 제작 조건은 N03~N07과 동일 가정</t>
  </si>
  <si>
    <t xml:space="preserve">N35</t>
  </si>
  <si>
    <t xml:space="preserve">IMG_7456.jpeg</t>
  </si>
  <si>
    <t xml:space="preserve">정상(먼지 A등급). 띠 안쪽 매우 깨끗, 아래쪽 왼편에 희미한 1~2mm 입자 1개 정도. 이물·줄무늬 없음. 왼쪽 아래 물감 방울과 아래 끝 줄 자국은 검사 영역 밖. 띠가 화면 왼쪽으로 약간 치우침. 제작 조건은 N03~N07과 동일 가정</t>
  </si>
  <si>
    <t xml:space="preserve">N36</t>
  </si>
  <si>
    <t xml:space="preserve">IMG_7460.jpeg</t>
  </si>
  <si>
    <t xml:space="preserve">정상(먼지 B등급). 위쪽 깨끗, 중간 옅음, 아래 1/3에 미세 먼지. 다시 불고 재촬영해 아래쪽 먼지가 줄었으나 중간 수준 남음. 이물·줄무늬 없음. 오른쪽 아래 가장자리 물결 턱과 끝 방울은 검사 영역 밖. 최종 컷 IMG_7460, 미사용 7459. 제작 조건은 N03~N07과 동일 가정</t>
  </si>
  <si>
    <t xml:space="preserve">P01</t>
  </si>
  <si>
    <t xml:space="preserve">pinhole</t>
  </si>
  <si>
    <t xml:space="preserve">면봉 압착</t>
  </si>
  <si>
    <t xml:space="preserve">IMG_7467.jpeg</t>
  </si>
  <si>
    <t xml:space="preserve">핀홀 시험 시편. 구멍 4개 — 대: 자 약 2.5cm·가운데, 지름 약 3.5~4mm, 면봉 솜 머리 수직 압착, 가운데에 얇은 물감막 남음(육안으로 검은색 섞임). 중: 약 5.3cm·가운데, 약 1.5~2mm, 솜 끝 꼭지. 소 2개: 약 10cm 왼·오른쪽, 약 1.2mm / 약 1.5~2mm(약간 길쭉), 면봉 잘라 나무 끝으로 찍기 — 마른 뒤에도 열려 있어 합격. 크기는 확대 스크린샷(IMG_7468·7469) 기준 추정 ±0.3mm, 원본으로 재측정 예정. 아래 끝 물감 방울은 검사 영역 밖. → P02부터 큰 구멍은 눌렀다 비틀어 떼기로 변경 | 원본 재측정(10/14, 핀홀_정답라벨.csv): 위 3.1 / 가운데 1.3 / 아래 왼 1.2 / 아래 오 1.7 mm</t>
  </si>
  <si>
    <t xml:space="preserve">P02</t>
  </si>
  <si>
    <t xml:space="preserve">IMG_7473.jpeg</t>
  </si>
  <si>
    <t xml:space="preserve">구멍 4개, 배치는 P01과 같음(위아래 뒤집기 안 함) — 위: 자 약 3cm·가운데, 약 2.7mm, 회색으로 흐릿함(막 남았을 가능성). 가운데: 약 5.5cm, 약 2.5mm. 아래 왼쪽: 약 9cm, 약 2.5mm(가장 밝음). 아래 오른쪽: 약 9cm, 약 2.1mm. 제작은 P01과 같게 했다고 함. 큰 구멍이 P01(약 4mm)보다 작아 4개 크기가 2~3mm로 비슷함 — 원인 미상. 오른쪽 아래 약 9.5cm에 0.7mm 점 1개는 먼지로 판단. 크기는 확대 스크린샷(IMG_7474, 자 1mm=18px) 기준 ±0.3mm. 최종 컷 IMG_7473, 미사용 7471(초점 흐림) | 원본 재측정(10/14, 핀홀_정답라벨.csv): 위 2.6 / 가운데 2.1 / 아래 왼 2.0 / 아래 오 1.8 mm</t>
  </si>
  <si>
    <t xml:space="preserve">P03</t>
  </si>
  <si>
    <t xml:space="preserve">IMG_7475.jpeg</t>
  </si>
  <si>
    <t xml:space="preserve">구멍 4개, 배치는 P01·P02와 같음 — 위: 자 약 2.3cm·가운데, 약 2.6mm(약간 가로로 길쭉, 3.3×2.1mm), 솜 머리 수직 압착(비틀지 않음). 가운데: 약 5.3cm, 약 2.0mm(가장 밝음). 아래 왼쪽: 약 9.6cm, 약 1.7mm. 아래 오른쪽: 약 9.6cm, 약 1.5mm. 큰 구멍은 여전히 P01(약 4mm)보다 작음. 크기는 확대 스크린샷(IMG_7476, 자 1mm=16px) 기준 ±0.3mm. 띠 오른쪽 아래 끝 바깥 물감 방울은 검사 영역 밖 | 원본 재측정(10/14, 핀홀_정답라벨.csv): 위 2.7 / 가운데 2.3 / 아래 왼 1.7 / 아래 오 1.5 mm</t>
  </si>
  <si>
    <t xml:space="preserve">P04</t>
  </si>
  <si>
    <t xml:space="preserve">IMG_7477.jpeg</t>
  </si>
  <si>
    <t xml:space="preserve">구멍 4개, 배치는 P03과 같음 — 위: 자 약 2cm·가운데, 약 3.2mm, 고리 모양(가운데 어두움, 막 남음). 가운데: 약 5.5cm, 약 2.7mm, 고리 모양(가운데 막 남음). 아래 왼쪽: 약 9.5cm, 약 2.0mm. 아래 오른쪽: 약 9.5cm, 약 1.6mm(가장 밝음). 크기는 확대 스크린샷(IMG_7478, 자 1mm=약 19px) 기준 ±0.3mm. 자가 띠와 평행하지 않고 약간 기울어 놓임 | 원본 재측정(10/14, 핀홀_정답라벨.csv): 위 3.1 / 가운데 2.6 / 아래 왼 2.0 / 아래 오 1.7 mm</t>
  </si>
  <si>
    <t xml:space="preserve">P05</t>
  </si>
  <si>
    <t xml:space="preserve">IMG_7480.jpeg</t>
  </si>
  <si>
    <t xml:space="preserve">구멍 4개, 배치는 P03과 같음 — 위: 자 약 2.4cm·가운데, 약 3.0mm, 고리 모양(가운데 일부 막 남음). 가운데: 약 5.6cm, 약 2.6mm. 아래 왼쪽: 약 9.6cm, 약 1.1mm(작고 흐릿함, 약간 길쭉). 아래 오른쪽: 약 9.9cm, 약 2.3mm(가장 밝음). 크기는 확대 스크린샷(IMG_7481, 자 1mm=약 17px) 기준 ±0.3mm. 자 위 먼지는 띠 밖이라 무관 | 원본 재측정(10/14, 핀홀_정답라벨.csv): 위 3.1 / 가운데 2.7 / 아래 왼 1.2 / 아래 오 2.4 mm</t>
  </si>
  <si>
    <t xml:space="preserve">P06</t>
  </si>
  <si>
    <t xml:space="preserve">IMG_7485.jpeg</t>
  </si>
  <si>
    <t xml:space="preserve">구멍 4개, 배치는 P03과 같음 — 위: 자 약 2.3cm·가운데, 약 3.4mm, 고리 모양(가운데 일부 막 남음). 가운데: 약 5.3cm, 약 2.4mm. 아래 왼쪽: 약 9.5cm, 약 1.7mm. 아래 오른쪽: 약 9.4cm, 약 2.2mm. 크기는 첫 촬영(IMG_7482)의 확대 스크린샷(IMG_7483, 자 1mm=약 15px) 기준 ±0.3mm. 오른쪽 아래 끝(자 약 14.5cm~끝)에 카드 들림 자국이 붓질처럼 남음 — 대부분 검사 영역(아래 1cm·가장자리 5mm) 밖. 최종 컷 IMG_7485(호일에 P06 표기 후 재촬영), 미사용 7482(번호 표기 없음) | 원본 재측정(10/14, 핀홀_정답라벨.csv): 위 3.6 / 가운데 2.5 / 아래 왼 1.8 / 아래 오 2.2 mm</t>
  </si>
  <si>
    <t xml:space="preserve">P07</t>
  </si>
  <si>
    <t xml:space="preserve">IMG_7504.jpeg</t>
  </si>
  <si>
    <t xml:space="preserve">구멍 4개 냈으나 이전 시편보다 전반적으로 작음 — 위: 자 약 2cm·가운데, 약 1.7mm, 흐릿함. 가운데: 약 5cm, 약 1.6mm. 아래 왼쪽: 약 10cm, 약 1.3mm. 아래 오른쪽: 약 10.5cm, 약 0.6mm로 거의 닫힘(먼지와 구분 어려움, 평가 제외 후보). 크기는 확대 스크린샷(IMG_7505, 자 1mm=약 16px) 기준 ±0.3mm. 띠 오른쪽 가장자리 아래쪽(자 약 9~15cm)에 붓질 같은 줄 자국과 미세한 밝은 점 여러 개 — 가장자리 5mm 경계 부근. 띠 오른쪽 위 모서리 밖 물감 얼룩은 검사 영역 밖. 재촬영(IMG_7504, 스크린샷 7505)에서도 구멍 크기 1.7/1.7/1.4mm로 같게 나와 작은 크기는 실제 시편 상태. 최종 컷 IMG_7504(사용자 지정), 미사용 7501. 업로드 해상도가 두 장 모두 1512×2016으로 P01~P06(1932×2576)과 다름 — 카메라 원본 해상도 확인 필요 | 원본 재측정(10/14, 핀홀_정답라벨.csv): 위 1.8 / 가운데 1.7 / 아래 왼 1.4 / 아래 오 0.7 mm</t>
  </si>
  <si>
    <t xml:space="preserve">P08</t>
  </si>
  <si>
    <t xml:space="preserve">IMG_7507.jpeg</t>
  </si>
  <si>
    <t xml:space="preserve">구멍 4개, P07처럼 P06 이전보다 작음 — 위: 자 약 2.2cm·가운데, 약 2.7mm, 고리 모양(가운데 막 남음). 가운데: 약 5.3cm, 약 1.5mm(왼쪽 3mm 옆에 0.8mm 점 하나 더). 아래 왼쪽: 약 10cm, 약 0.8mm로 거의 닫힘(평가 제외 후보). 아래 오른쪽: 약 10.3cm, 약 1.5mm(바로 위 0.8mm 점 하나). 띠 표면에 뿌연 얼룩과 0.3~0.6mm 밝은 점이 많음, 특히 오른쪽 가장자리 쪽(자 약 5~8cm)에 몰림 — 먼지 많음(C등급 수준). 아래 끝 바깥 물감 덩어리는 검사 영역 밖. 크기는 확대 스크린샷(IMG_7508, 자 1mm=약 16px) 기준 ±0.3mm. 업로드 해상도 1512×2016(P07과 같음, P06 이전과 다름) | 원본 재측정(10/14, 핀홀_정답라벨.csv): 위 3.3 / 가운데 1.7 / 아래 왼 0.9 / 아래 오 1.5 mm</t>
  </si>
  <si>
    <t xml:space="preserve">P09</t>
  </si>
  <si>
    <t xml:space="preserve">IMG_7509.jpeg</t>
  </si>
  <si>
    <t xml:space="preserve">구멍 4개 모두 1mm 이상으로 열림 — 위: 자 약 2.1cm·가운데, 약 2.1mm. 가운데: 약 5cm, 약 1.5mm. 아래 왼쪽: 약 10.3cm, 약 1.8mm. 아래 오른쪽: 약 10.3cm, 약 1.3mm. 띠 안쪽 먼지 거의 없음(P08보다 훨씬 깨끗). 오른쪽 아래 가장자리 붓질 자국과 오른쪽 위 모서리 밖 물감 점은 검사 영역 밖. 크기는 확대 스크린샷(IMG_7510, 자 1mm=16px) 기준 ±0.3mm. 업로드 해상도 1512×2016(P07·P08과 같음) | 원본 재측정(10/14, 핀홀_정답라벨.csv): 위 2.5 / 가운데 1.9 / 아래 왼 2.1 / 아래 오 1.5 mm</t>
  </si>
  <si>
    <t xml:space="preserve">P10</t>
  </si>
  <si>
    <t xml:space="preserve">IMG_7511.jpeg</t>
  </si>
  <si>
    <t xml:space="preserve">판정 제외 → P11로 대체. 구멍을 냈으나 대부분 메워짐 — 위(자 약 3cm) 약 2.5~3mm인데 흐릿해 막이 많이 남음, 가운데(약 6cm) 약 1mm로 거의 닫힘, 아래 2개는 안 보임. 오른쪽 가장자리 근처 약 9.5cm에 1mm 미만 밝은 점 1개. 원본 밝기는 P09와 같아 사진 문제 아님. 확대 스크린샷 IMG_7512</t>
  </si>
  <si>
    <t xml:space="preserve">P11</t>
  </si>
  <si>
    <t xml:space="preserve">IMG_7513.jpeg</t>
  </si>
  <si>
    <t xml:space="preserve">P10 대체 시편. 구멍 4개 — 위: 자 약 2.4cm·가운데, 약 1.8mm. 가운데: 약 5.3cm, 약 2.0mm(가장 밝음). 아래 왼쪽: 약 10cm, 약 0.7mm로 거의 닫힘(평가 제외 후보). 아래 오른쪽: 약 10.1cm, 약 1.3mm. 띠 가운데 오른쪽(자 약 6.5cm)에 0.3~0.7mm 점 무리, 오른쪽 가장자리 아래쪽에 작은 점들 — 먼지·가장자리 질감으로 판단. 띠 오른쪽 가장자리가 위로 갈수록 좁아짐. 크기는 확대 스크린샷(IMG_7514, 자 1mm=약 16px) 기준 ±0.3mm. 업로드 해상도 1512×2016 | 원본 재측정(10/14, 핀홀_정답라벨.csv): 위 2.6 / 가운데 2.4 / 아래 왼 0.8 / 아래 오 1.6 mm</t>
  </si>
  <si>
    <t xml:space="preserve">P12</t>
  </si>
  <si>
    <t xml:space="preserve">IMG_7515.jpeg</t>
  </si>
  <si>
    <t xml:space="preserve">추가 시편. 구멍 대부분 작거나 덮임 — 위: 자 약 2.3cm·가운데, 고리 지름 약 3mm인데 가운데가 어둡고 흐릿함(막 남음). 가운데: 약 4.8cm, 열린 부분 약 1.2mm, 옆에 어두운 패인 자국. 아래 왼쪽: 약 9.3cm, 약 0.8~1.0mm. 아래 오른쪽: 안 보임(닫힘 추정). 띠 표면에 뿌연 얼룩과 0.3~0.7mm 점이 많음(먼지 C등급 수준), 특히 위쪽과 오른쪽 아래. 크기는 확대 스크린샷(IMG_7516, 자 1mm=약 17px) 기준 ±0.3mm. 업로드 해상도 1512×2016 | 원본 재측정(10/14, 핀홀_정답라벨.csv): 위 3.4 / 가운데 1.2 / 아래 왼 0.9 / 아래 오 안 보임 mm</t>
  </si>
  <si>
    <t xml:space="preserve">팔레트 칸별 점도 조건</t>
  </si>
  <si>
    <t xml:space="preserve">촬영 시작 전에 칸마다 다르게 타두고 여기 기록합니다. 도중에 물을 더 넣으면 새 칸 번호를 부여하세요.</t>
  </si>
  <si>
    <t xml:space="preserve">체감 점도</t>
  </si>
  <si>
    <t xml:space="preserve">잘 나오는 결함</t>
  </si>
  <si>
    <t xml:space="preserve">메모</t>
  </si>
  <si>
    <t xml:space="preserve">1:0.2</t>
  </si>
  <si>
    <t xml:space="preserve">되직함</t>
  </si>
  <si>
    <t xml:space="preserve">중간</t>
  </si>
  <si>
    <t xml:space="preserve">pinhole, scratch</t>
  </si>
  <si>
    <t xml:space="preserve">1:1.0</t>
  </si>
  <si>
    <t xml:space="preserve">묽음</t>
  </si>
  <si>
    <t xml:space="preserve">uncoated_edge</t>
  </si>
  <si>
    <t xml:space="preserve">1:2.0</t>
  </si>
  <si>
    <t xml:space="preserve">매우 묽음</t>
  </si>
  <si>
    <t xml:space="preserve">기포 자연발생 pinhole</t>
  </si>
  <si>
    <t xml:space="preserve">물 없음</t>
  </si>
  <si>
    <r>
      <rPr>
        <sz val="10"/>
        <rFont val="Arial"/>
        <family val="0"/>
        <charset val="1"/>
      </rPr>
      <t xml:space="preserve">60ml </t>
    </r>
    <r>
      <rPr>
        <sz val="10"/>
        <rFont val="Noto Sans CJK SC"/>
        <family val="2"/>
      </rPr>
      <t xml:space="preserve">신제품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튜브에서 호일로 직접 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제품은 칸</t>
    </r>
    <r>
      <rPr>
        <sz val="10"/>
        <rFont val="Arial"/>
        <family val="0"/>
        <charset val="1"/>
      </rPr>
      <t xml:space="preserve">2(1:0.5)</t>
    </r>
    <r>
      <rPr>
        <sz val="10"/>
        <rFont val="Noto Sans CJK SC"/>
        <family val="2"/>
      </rPr>
      <t xml:space="preserve">에서 묽어 튕김 → </t>
    </r>
    <r>
      <rPr>
        <sz val="10"/>
        <rFont val="Arial"/>
        <family val="0"/>
        <charset val="1"/>
      </rPr>
      <t xml:space="preserve">09-29 </t>
    </r>
    <r>
      <rPr>
        <sz val="10"/>
        <rFont val="Noto Sans CJK SC"/>
        <family val="2"/>
      </rPr>
      <t xml:space="preserve">원액으로 고정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카드 세로</t>
    </r>
    <r>
      <rPr>
        <sz val="10"/>
        <rFont val="Arial"/>
        <family val="0"/>
        <charset val="1"/>
      </rPr>
      <t xml:space="preserve">·1</t>
    </r>
    <r>
      <rPr>
        <sz val="10"/>
        <rFont val="Noto Sans CJK SC"/>
        <family val="2"/>
      </rPr>
      <t xml:space="preserve">회 밀기</t>
    </r>
  </si>
  <si>
    <t xml:space="preserve">결함–원인 매핑표</t>
  </si>
  <si>
    <t xml:space="preserve">촬영기록 시트가 쌓이면 여기로 정리합니다. 면접에서 결함 이미지를 공정 언어로 설명할 때 쓰는 표입니다.</t>
  </si>
  <si>
    <t xml:space="preserve">모사 생성방법</t>
  </si>
  <si>
    <t xml:space="preserve">실제 공정 원인</t>
  </si>
  <si>
    <t xml:space="preserve">육안 특징</t>
  </si>
  <si>
    <t xml:space="preserve">검출 방법</t>
  </si>
  <si>
    <t xml:space="preserve">관측 장수</t>
  </si>
  <si>
    <t xml:space="preserve">검사 결과 (10/15, PatchCore 2배 확대·엄격 기준)</t>
  </si>
  <si>
    <t xml:space="preserve">면봉 압착 / 묽은 물감 기포</t>
  </si>
  <si>
    <t xml:space="preserve">슬러리 내 기포, 탈포 공정 불량, 건조 중 용매 급속 휘발</t>
  </si>
  <si>
    <t xml:space="preserve">경계 뚜렷한 원형 결손, 기재색 노출</t>
  </si>
  <si>
    <t xml:space="preserve">객체 탐지</t>
  </si>
  <si>
    <r>
      <rPr>
        <sz val="10"/>
        <rFont val="Noto Sans CJK SC"/>
        <family val="2"/>
      </rPr>
      <t xml:space="preserve">검출 한계 </t>
    </r>
    <r>
      <rPr>
        <sz val="10"/>
        <rFont val="Arial"/>
        <family val="0"/>
        <charset val="1"/>
      </rPr>
      <t xml:space="preserve">a90 2.2mm(a50 1.8mm). 2.5mm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100%, 2~2.5mm 86%, 1.5~2mm 43%, 1~1.5mm 0%. </t>
    </r>
    <r>
      <rPr>
        <sz val="10"/>
        <rFont val="Noto Sans CJK SC"/>
        <family val="2"/>
      </rPr>
      <t xml:space="preserve">가운데 막이 남은 큰 구멍은 밝기 규칙으로 </t>
    </r>
    <r>
      <rPr>
        <sz val="10"/>
        <rFont val="Arial"/>
        <family val="0"/>
        <charset val="1"/>
      </rPr>
      <t xml:space="preserve">0%, PatchCore</t>
    </r>
    <r>
      <rPr>
        <sz val="10"/>
        <rFont val="Noto Sans CJK SC"/>
        <family val="2"/>
      </rPr>
      <t xml:space="preserve">는 질감 차이로 </t>
    </r>
    <r>
      <rPr>
        <sz val="10"/>
        <rFont val="Arial"/>
        <family val="0"/>
        <charset val="1"/>
      </rPr>
      <t xml:space="preserve">100%</t>
    </r>
  </si>
  <si>
    <t xml:space="preserve">카드 빠르게 밀기 / 되직한 물감</t>
  </si>
  <si>
    <t xml:space="preserve">슬러리 점도 과다, 닥터블레이드 갭 불균일, 블레이드 손상</t>
  </si>
  <si>
    <t xml:space="preserve">웹 진행 방향 평행한 선상 농담차</t>
  </si>
  <si>
    <t xml:space="preserve">세그멘테이션</t>
  </si>
  <si>
    <r>
      <rPr>
        <sz val="10"/>
        <rFont val="Arial"/>
        <family val="0"/>
        <charset val="1"/>
      </rPr>
      <t xml:space="preserve">N15·N17·N29: 3</t>
    </r>
    <r>
      <rPr>
        <sz val="10"/>
        <rFont val="Noto Sans CJK SC"/>
        <family val="2"/>
      </rPr>
      <t xml:space="preserve">회 중 각각 </t>
    </r>
    <r>
      <rPr>
        <sz val="10"/>
        <rFont val="Arial"/>
        <family val="0"/>
        <charset val="1"/>
      </rPr>
      <t xml:space="preserve">1·2·3</t>
    </r>
    <r>
      <rPr>
        <sz val="10"/>
        <rFont val="Noto Sans CJK SC"/>
        <family val="2"/>
      </rPr>
      <t xml:space="preserve">회 경보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모사 원인은 카드 날에 굳은 물감 부스러기가 끌린 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실제 코터 다이 립 이물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응집체 걸림에 해당</t>
    </r>
    <r>
      <rPr>
        <sz val="10"/>
        <rFont val="Arial"/>
        <family val="0"/>
        <charset val="1"/>
      </rPr>
      <t xml:space="preserve">)</t>
    </r>
  </si>
  <si>
    <t xml:space="preserve">카드를 중간에 떼기</t>
  </si>
  <si>
    <t xml:space="preserve">코팅 시작·종료 구간, 탭 형성부, 코팅액 공급 중단</t>
  </si>
  <si>
    <t xml:space="preserve">코팅부와 기재의 경계, 폭 측정 대상</t>
  </si>
  <si>
    <t xml:space="preserve">측정(경계 검출)</t>
  </si>
  <si>
    <r>
      <rPr>
        <sz val="10"/>
        <rFont val="Noto Sans CJK SC"/>
        <family val="2"/>
      </rPr>
      <t xml:space="preserve">검사 영역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가장자리 </t>
    </r>
    <r>
      <rPr>
        <sz val="10"/>
        <rFont val="Arial"/>
        <family val="0"/>
        <charset val="1"/>
      </rPr>
      <t xml:space="preserve">5mm) </t>
    </r>
    <r>
      <rPr>
        <sz val="10"/>
        <rFont val="Noto Sans CJK SC"/>
        <family val="2"/>
      </rPr>
      <t xml:space="preserve">밖으로 처리해 평가하지 않음</t>
    </r>
    <r>
      <rPr>
        <sz val="10"/>
        <rFont val="Arial"/>
        <family val="0"/>
        <charset val="1"/>
      </rPr>
      <t xml:space="preserve">. N13 </t>
    </r>
    <r>
      <rPr>
        <sz val="10"/>
        <rFont val="Noto Sans CJK SC"/>
        <family val="2"/>
      </rPr>
      <t xml:space="preserve">가장자리를 참고 샘플로 보관</t>
    </r>
  </si>
  <si>
    <t xml:space="preserve">scratch</t>
  </si>
  <si>
    <t xml:space="preserve">이쑤시개 긋기 / 흠집 낸 카드</t>
  </si>
  <si>
    <t xml:space="preserve">이물 혼입, 롤 표면 손상, 반송 중 접촉</t>
  </si>
  <si>
    <t xml:space="preserve">가늘고 긴 선형 결손, 깊이 방향 그림자</t>
  </si>
  <si>
    <t xml:space="preserve">제작하지 않음</t>
  </si>
  <si>
    <t xml:space="preserve">균일한 도포면</t>
  </si>
  <si>
    <t xml:space="preserve">이상탐지 학습용 정상 샘플</t>
  </si>
  <si>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(A 17·B 12). </t>
    </r>
    <r>
      <rPr>
        <sz val="10"/>
        <rFont val="Noto Sans CJK SC"/>
        <family val="2"/>
      </rPr>
      <t xml:space="preserve">과검 </t>
    </r>
    <r>
      <rPr>
        <sz val="10"/>
        <rFont val="Arial"/>
        <family val="0"/>
        <charset val="1"/>
      </rPr>
      <t xml:space="preserve">A 2/15, B 14/36. </t>
    </r>
    <r>
      <rPr>
        <sz val="10"/>
        <rFont val="Noto Sans CJK SC"/>
        <family val="2"/>
      </rPr>
      <t xml:space="preserve">과검 원인은 먼지가 아니라 광택 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먼지 밀도와 상관 </t>
    </r>
    <r>
      <rPr>
        <sz val="10"/>
        <rFont val="Arial"/>
        <family val="0"/>
        <charset val="1"/>
      </rPr>
      <t xml:space="preserve">0.08)</t>
    </r>
  </si>
  <si>
    <t xml:space="preserve">foreign</t>
  </si>
  <si>
    <t xml:space="preserve">자연 발생 — 보풀·섬유가 물감에 박힘</t>
  </si>
  <si>
    <r>
      <rPr>
        <sz val="10"/>
        <rFont val="Noto Sans CJK SC"/>
        <family val="2"/>
      </rPr>
      <t xml:space="preserve">원료 이물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환경 파티클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보풀 혼입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슬러리 여과 미흡</t>
    </r>
  </si>
  <si>
    <t xml:space="preserve">물감에 덮여 볼록, 측면광에서 그림자</t>
  </si>
  <si>
    <t xml:space="preserve">이상탐지</t>
  </si>
  <si>
    <t xml:space="preserve">2 (N08·N12)</t>
  </si>
  <si>
    <r>
      <rPr>
        <sz val="11"/>
        <color theme="1"/>
        <rFont val="Calibri"/>
        <family val="2"/>
        <charset val="1"/>
      </rPr>
      <t xml:space="preserve">N08 3</t>
    </r>
    <r>
      <rPr>
        <sz val="11"/>
        <color theme="1"/>
        <rFont val="Noto Sans CJK SC"/>
        <family val="2"/>
      </rPr>
      <t xml:space="preserve">회 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, N12 3</t>
    </r>
    <r>
      <rPr>
        <sz val="11"/>
        <color theme="1"/>
        <rFont val="Noto Sans CJK SC"/>
        <family val="2"/>
      </rPr>
      <t xml:space="preserve">회 모두 경보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밝기 규칙으로는 안 잡힘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어둡게 덮여 있음</t>
    </r>
    <r>
      <rPr>
        <sz val="11"/>
        <color theme="1"/>
        <rFont val="Calibri"/>
        <family val="2"/>
        <charset val="1"/>
      </rPr>
      <t xml:space="preserve">)</t>
    </r>
  </si>
  <si>
    <t xml:space="preserve">gloss</t>
  </si>
  <si>
    <t xml:space="preserve">의도하지 않음 — 초기 제작분(9/30·10/2)에 집중, 원인 미확인</t>
  </si>
  <si>
    <r>
      <rPr>
        <sz val="10"/>
        <rFont val="Noto Sans CJK SC"/>
        <family val="2"/>
      </rPr>
      <t xml:space="preserve">결함은 아니지만 공정 변동 신호 — 건조 속도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풍속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고형분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도포 두께 차이로 표면 평활도가 달라지는 경우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후보</t>
    </r>
    <r>
      <rPr>
        <sz val="10"/>
        <rFont val="Arial"/>
        <family val="0"/>
        <charset val="1"/>
      </rPr>
      <t xml:space="preserve">)</t>
    </r>
  </si>
  <si>
    <t xml:space="preserve">측면광에서 하얀 반사 줄</t>
  </si>
  <si>
    <t xml:space="preserve">관리도(제작 시기별 이상 점수)</t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</si>
  <si>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중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장이 관리 상한 초과</t>
    </r>
  </si>
  <si>
    <r>
      <rPr>
        <sz val="11"/>
        <color theme="1"/>
        <rFont val="Noto Sans CJK SC"/>
        <family val="2"/>
      </rPr>
      <t xml:space="preserve">과검의 주원인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이후 제작분은 모두 관리 한계 안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교차 편광 조명으로 줄이는 실험 예정</t>
    </r>
  </si>
  <si>
    <t xml:space="preserve">dust</t>
  </si>
  <si>
    <t xml:space="preserve">촬영 환경(먼지 불기 후에도 남은 것)</t>
  </si>
  <si>
    <r>
      <rPr>
        <sz val="10"/>
        <rFont val="Noto Sans CJK SC"/>
        <family val="2"/>
      </rPr>
      <t xml:space="preserve">검사 환경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반송 중 부착 → 검사 전 에어 블로우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이오나이저</t>
    </r>
  </si>
  <si>
    <t xml:space="preserve">0.2~0.5mm 밝은 점</t>
  </si>
  <si>
    <t xml:space="preserve">크기 기준(1mm 미만 제외)·먼지 밀도 등급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</si>
  <si>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17 / B 12</t>
    </r>
  </si>
  <si>
    <r>
      <rPr>
        <sz val="11"/>
        <color theme="1"/>
        <rFont val="Noto Sans CJK SC"/>
        <family val="2"/>
      </rPr>
      <t xml:space="preserve">이상 점수와 상관 거의 없음</t>
    </r>
    <r>
      <rPr>
        <sz val="11"/>
        <color theme="1"/>
        <rFont val="Calibri"/>
        <family val="2"/>
        <charset val="1"/>
      </rPr>
      <t xml:space="preserve">(0.08). </t>
    </r>
    <r>
      <rPr>
        <sz val="11"/>
        <color theme="1"/>
        <rFont val="Noto Sans CJK SC"/>
        <family val="2"/>
      </rPr>
      <t xml:space="preserve">밀도 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/cm² </t>
    </r>
    <r>
      <rPr>
        <sz val="11"/>
        <color theme="1"/>
        <rFont val="Noto Sans CJK SC"/>
        <family val="2"/>
      </rPr>
      <t xml:space="preserve">기준으로 눈 판정과 </t>
    </r>
    <r>
      <rPr>
        <sz val="11"/>
        <color theme="1"/>
        <rFont val="Calibri"/>
        <family val="2"/>
        <charset val="1"/>
      </rPr>
      <t xml:space="preserve">17/17 </t>
    </r>
    <r>
      <rPr>
        <sz val="11"/>
        <color theme="1"/>
        <rFont val="Noto Sans CJK SC"/>
        <family val="2"/>
      </rPr>
      <t xml:space="preserve">일치</t>
    </r>
  </si>
  <si>
    <t xml:space="preserve">관측 장수는 촬영기록 시트의 결함유형 열을 세는 수식입니다. 촬영하면서 자동으로 갱신됩니다. foreign·gloss·dust 행과 G열은 원본 QC와 PatchCore 결과(10/15)로 채운 값입니다.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</si>
</sst>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B4F72"/>
      <name val="Noto Sans CJK SC"/>
      <family val="2"/>
      <charset val="1"/>
    </font>
    <font>
      <sz val="10"/>
      <color rgb="FF444444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1"/>
      <color rgb="FF1B4F72"/>
      <name val="Noto Sans CJK SC"/>
      <family val="2"/>
      <charset val="1"/>
    </font>
    <font>
      <sz val="10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7A7A7A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A7A7A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26"/>
    <col collapsed="false" customWidth="true" hidden="false" outlineLevel="0" max="12" min="12" style="1" width="30"/>
    <col collapsed="false" customWidth="true" hidden="false" outlineLevel="0" max="14" min="13" style="1" width="14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15" hidden="false" customHeight="true" outlineLevel="0" collapsed="false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 customFormat="false" ht="15" hidden="false" customHeight="true" outlineLevel="0" collapsed="false">
      <c r="A7" s="6" t="s">
        <v>18</v>
      </c>
      <c r="B7" s="6"/>
      <c r="C7" s="6"/>
      <c r="D7" s="6" t="n">
        <v>2</v>
      </c>
      <c r="E7" s="6" t="s">
        <v>19</v>
      </c>
      <c r="F7" s="7" t="s">
        <v>20</v>
      </c>
      <c r="G7" s="7" t="s">
        <v>21</v>
      </c>
      <c r="H7" s="6" t="n">
        <v>50</v>
      </c>
      <c r="I7" s="6" t="s">
        <v>22</v>
      </c>
      <c r="J7" s="6"/>
      <c r="K7" s="6"/>
      <c r="L7" s="8" t="s">
        <v>23</v>
      </c>
      <c r="M7" s="6"/>
      <c r="N7" s="6"/>
    </row>
    <row r="8" customFormat="false" ht="15" hidden="false" customHeight="true" outlineLevel="0" collapsed="false">
      <c r="A8" s="6" t="s">
        <v>24</v>
      </c>
      <c r="B8" s="6"/>
      <c r="C8" s="6"/>
      <c r="D8" s="7" t="s">
        <v>25</v>
      </c>
      <c r="E8" s="7" t="s">
        <v>25</v>
      </c>
      <c r="F8" s="7" t="s">
        <v>20</v>
      </c>
      <c r="G8" s="7" t="s">
        <v>21</v>
      </c>
      <c r="H8" s="6" t="n">
        <v>50</v>
      </c>
      <c r="I8" s="6" t="s">
        <v>26</v>
      </c>
      <c r="J8" s="6"/>
      <c r="K8" s="6"/>
      <c r="L8" s="8" t="s">
        <v>27</v>
      </c>
      <c r="M8" s="6"/>
      <c r="N8" s="6"/>
    </row>
    <row r="9" customFormat="false" ht="15" hidden="false" customHeight="true" outlineLevel="0" collapsed="false">
      <c r="A9" s="6" t="s">
        <v>28</v>
      </c>
      <c r="B9" s="6" t="s">
        <v>29</v>
      </c>
      <c r="C9" s="7" t="s">
        <v>30</v>
      </c>
      <c r="D9" s="7" t="s">
        <v>25</v>
      </c>
      <c r="E9" s="7" t="s">
        <v>25</v>
      </c>
      <c r="F9" s="7" t="s">
        <v>20</v>
      </c>
      <c r="G9" s="7" t="s">
        <v>21</v>
      </c>
      <c r="H9" s="6" t="n">
        <v>50</v>
      </c>
      <c r="I9" s="6" t="s">
        <v>31</v>
      </c>
      <c r="J9" s="6" t="n">
        <v>0</v>
      </c>
      <c r="K9" s="6" t="s">
        <v>32</v>
      </c>
      <c r="L9" s="8" t="s">
        <v>33</v>
      </c>
      <c r="M9" s="6" t="n">
        <v>1.36</v>
      </c>
      <c r="N9" s="6" t="s">
        <v>34</v>
      </c>
    </row>
    <row r="10" customFormat="false" ht="15" hidden="false" customHeight="true" outlineLevel="0" collapsed="false">
      <c r="A10" s="6" t="s">
        <v>35</v>
      </c>
      <c r="B10" s="6" t="s">
        <v>29</v>
      </c>
      <c r="C10" s="7" t="s">
        <v>30</v>
      </c>
      <c r="D10" s="7" t="s">
        <v>25</v>
      </c>
      <c r="E10" s="7" t="s">
        <v>25</v>
      </c>
      <c r="F10" s="7" t="s">
        <v>20</v>
      </c>
      <c r="G10" s="7" t="s">
        <v>21</v>
      </c>
      <c r="H10" s="6" t="n">
        <v>50</v>
      </c>
      <c r="I10" s="6" t="s">
        <v>36</v>
      </c>
      <c r="J10" s="6" t="n">
        <v>0</v>
      </c>
      <c r="K10" s="6" t="s">
        <v>32</v>
      </c>
      <c r="L10" s="8" t="s">
        <v>37</v>
      </c>
      <c r="M10" s="6" t="n">
        <v>1.76</v>
      </c>
      <c r="N10" s="6" t="s">
        <v>34</v>
      </c>
    </row>
    <row r="11" customFormat="false" ht="15" hidden="false" customHeight="true" outlineLevel="0" collapsed="false">
      <c r="A11" s="6" t="s">
        <v>38</v>
      </c>
      <c r="B11" s="6" t="s">
        <v>29</v>
      </c>
      <c r="C11" s="7" t="s">
        <v>30</v>
      </c>
      <c r="D11" s="7" t="s">
        <v>25</v>
      </c>
      <c r="E11" s="7" t="s">
        <v>25</v>
      </c>
      <c r="F11" s="7" t="s">
        <v>20</v>
      </c>
      <c r="G11" s="7" t="s">
        <v>21</v>
      </c>
      <c r="H11" s="6" t="n">
        <v>50</v>
      </c>
      <c r="I11" s="6" t="s">
        <v>39</v>
      </c>
      <c r="J11" s="6" t="n">
        <v>0</v>
      </c>
      <c r="K11" s="6" t="s">
        <v>32</v>
      </c>
      <c r="L11" s="8" t="s">
        <v>40</v>
      </c>
      <c r="M11" s="6" t="n">
        <v>2.35</v>
      </c>
      <c r="N11" s="6" t="s">
        <v>41</v>
      </c>
    </row>
    <row r="12" customFormat="false" ht="15" hidden="false" customHeight="true" outlineLevel="0" collapsed="false">
      <c r="A12" s="6" t="s">
        <v>42</v>
      </c>
      <c r="B12" s="6" t="s">
        <v>29</v>
      </c>
      <c r="C12" s="7" t="s">
        <v>30</v>
      </c>
      <c r="D12" s="7" t="s">
        <v>25</v>
      </c>
      <c r="E12" s="7" t="s">
        <v>25</v>
      </c>
      <c r="F12" s="7" t="s">
        <v>20</v>
      </c>
      <c r="G12" s="7" t="s">
        <v>21</v>
      </c>
      <c r="H12" s="6" t="n">
        <v>50</v>
      </c>
      <c r="I12" s="6" t="s">
        <v>43</v>
      </c>
      <c r="J12" s="6" t="n">
        <v>0</v>
      </c>
      <c r="K12" s="6" t="s">
        <v>32</v>
      </c>
      <c r="L12" s="8" t="s">
        <v>44</v>
      </c>
      <c r="M12" s="6" t="n">
        <v>0.12</v>
      </c>
      <c r="N12" s="6" t="s">
        <v>34</v>
      </c>
    </row>
    <row r="13" customFormat="false" ht="15" hidden="false" customHeight="true" outlineLevel="0" collapsed="false">
      <c r="A13" s="6" t="s">
        <v>45</v>
      </c>
      <c r="B13" s="6" t="s">
        <v>29</v>
      </c>
      <c r="C13" s="7" t="s">
        <v>30</v>
      </c>
      <c r="D13" s="7" t="s">
        <v>25</v>
      </c>
      <c r="E13" s="7" t="s">
        <v>25</v>
      </c>
      <c r="F13" s="7" t="s">
        <v>20</v>
      </c>
      <c r="G13" s="7" t="s">
        <v>21</v>
      </c>
      <c r="H13" s="6" t="n">
        <v>50</v>
      </c>
      <c r="I13" s="6" t="s">
        <v>46</v>
      </c>
      <c r="J13" s="6" t="n">
        <v>0</v>
      </c>
      <c r="K13" s="6" t="s">
        <v>32</v>
      </c>
      <c r="L13" s="8" t="s">
        <v>47</v>
      </c>
      <c r="M13" s="6" t="n">
        <v>2.94</v>
      </c>
      <c r="N13" s="6" t="s">
        <v>41</v>
      </c>
    </row>
    <row r="14" customFormat="false" ht="15" hidden="false" customHeight="true" outlineLevel="0" collapsed="false">
      <c r="A14" s="6" t="s">
        <v>48</v>
      </c>
      <c r="B14" s="6"/>
      <c r="C14" s="6"/>
      <c r="D14" s="7" t="s">
        <v>25</v>
      </c>
      <c r="E14" s="7" t="s">
        <v>25</v>
      </c>
      <c r="F14" s="7" t="s">
        <v>20</v>
      </c>
      <c r="G14" s="7" t="s">
        <v>21</v>
      </c>
      <c r="H14" s="6" t="n">
        <v>50</v>
      </c>
      <c r="I14" s="6" t="s">
        <v>49</v>
      </c>
      <c r="J14" s="6"/>
      <c r="K14" s="6"/>
      <c r="L14" s="8" t="s">
        <v>50</v>
      </c>
      <c r="M14" s="6" t="n">
        <v>16.16</v>
      </c>
      <c r="N14" s="6"/>
    </row>
    <row r="15" customFormat="false" ht="15" hidden="false" customHeight="true" outlineLevel="0" collapsed="false">
      <c r="A15" s="6" t="s">
        <v>51</v>
      </c>
      <c r="B15" s="6" t="s">
        <v>29</v>
      </c>
      <c r="C15" s="7" t="s">
        <v>30</v>
      </c>
      <c r="D15" s="7" t="s">
        <v>25</v>
      </c>
      <c r="E15" s="7" t="s">
        <v>25</v>
      </c>
      <c r="F15" s="7" t="s">
        <v>20</v>
      </c>
      <c r="G15" s="7" t="s">
        <v>21</v>
      </c>
      <c r="H15" s="6" t="n">
        <v>50</v>
      </c>
      <c r="I15" s="6" t="s">
        <v>52</v>
      </c>
      <c r="J15" s="6" t="n">
        <v>0</v>
      </c>
      <c r="K15" s="6" t="s">
        <v>32</v>
      </c>
      <c r="L15" s="8" t="s">
        <v>53</v>
      </c>
      <c r="M15" s="6" t="n">
        <v>5.06</v>
      </c>
      <c r="N15" s="6" t="s">
        <v>41</v>
      </c>
    </row>
    <row r="16" customFormat="false" ht="15" hidden="false" customHeight="true" outlineLevel="0" collapsed="false">
      <c r="A16" s="6" t="s">
        <v>54</v>
      </c>
      <c r="B16" s="6" t="s">
        <v>29</v>
      </c>
      <c r="C16" s="7" t="s">
        <v>30</v>
      </c>
      <c r="D16" s="7" t="s">
        <v>25</v>
      </c>
      <c r="E16" s="7" t="s">
        <v>25</v>
      </c>
      <c r="F16" s="7" t="s">
        <v>20</v>
      </c>
      <c r="G16" s="7" t="s">
        <v>21</v>
      </c>
      <c r="H16" s="6" t="n">
        <v>50</v>
      </c>
      <c r="I16" s="6" t="s">
        <v>55</v>
      </c>
      <c r="J16" s="6" t="n">
        <v>0</v>
      </c>
      <c r="K16" s="6" t="s">
        <v>32</v>
      </c>
      <c r="L16" s="8" t="s">
        <v>56</v>
      </c>
      <c r="M16" s="6" t="n">
        <v>1.79</v>
      </c>
      <c r="N16" s="6" t="s">
        <v>34</v>
      </c>
    </row>
    <row r="17" customFormat="false" ht="15" hidden="false" customHeight="true" outlineLevel="0" collapsed="false">
      <c r="A17" s="6" t="s">
        <v>57</v>
      </c>
      <c r="B17" s="6" t="s">
        <v>29</v>
      </c>
      <c r="C17" s="7" t="s">
        <v>30</v>
      </c>
      <c r="D17" s="7" t="s">
        <v>25</v>
      </c>
      <c r="E17" s="7" t="s">
        <v>25</v>
      </c>
      <c r="F17" s="7" t="s">
        <v>20</v>
      </c>
      <c r="G17" s="7" t="s">
        <v>21</v>
      </c>
      <c r="H17" s="6" t="n">
        <v>50</v>
      </c>
      <c r="I17" s="6" t="s">
        <v>58</v>
      </c>
      <c r="J17" s="6" t="n">
        <v>0</v>
      </c>
      <c r="K17" s="6" t="s">
        <v>32</v>
      </c>
      <c r="L17" s="8" t="s">
        <v>59</v>
      </c>
      <c r="M17" s="6" t="n">
        <v>7.81</v>
      </c>
      <c r="N17" s="6" t="s">
        <v>41</v>
      </c>
    </row>
    <row r="18" customFormat="false" ht="15" hidden="false" customHeight="true" outlineLevel="0" collapsed="false">
      <c r="A18" s="6" t="s">
        <v>60</v>
      </c>
      <c r="B18" s="6"/>
      <c r="C18" s="7"/>
      <c r="D18" s="7" t="s">
        <v>25</v>
      </c>
      <c r="E18" s="7" t="s">
        <v>25</v>
      </c>
      <c r="F18" s="7" t="s">
        <v>20</v>
      </c>
      <c r="G18" s="7" t="s">
        <v>21</v>
      </c>
      <c r="H18" s="6" t="n">
        <v>50</v>
      </c>
      <c r="I18" s="6" t="s">
        <v>61</v>
      </c>
      <c r="J18" s="6"/>
      <c r="K18" s="6"/>
      <c r="L18" s="8" t="s">
        <v>62</v>
      </c>
      <c r="M18" s="6" t="n">
        <v>3.32</v>
      </c>
      <c r="N18" s="6"/>
    </row>
    <row r="19" customFormat="false" ht="15" hidden="false" customHeight="true" outlineLevel="0" collapsed="false">
      <c r="A19" s="6" t="s">
        <v>63</v>
      </c>
      <c r="B19" s="6" t="s">
        <v>29</v>
      </c>
      <c r="C19" s="7" t="s">
        <v>30</v>
      </c>
      <c r="D19" s="7" t="s">
        <v>25</v>
      </c>
      <c r="E19" s="7" t="s">
        <v>25</v>
      </c>
      <c r="F19" s="7" t="s">
        <v>20</v>
      </c>
      <c r="G19" s="7" t="s">
        <v>21</v>
      </c>
      <c r="H19" s="6" t="n">
        <v>50</v>
      </c>
      <c r="I19" s="6" t="s">
        <v>64</v>
      </c>
      <c r="J19" s="6" t="n">
        <v>0</v>
      </c>
      <c r="K19" s="6" t="s">
        <v>32</v>
      </c>
      <c r="L19" s="8" t="s">
        <v>65</v>
      </c>
      <c r="M19" s="6" t="n">
        <v>0.54</v>
      </c>
      <c r="N19" s="6" t="s">
        <v>34</v>
      </c>
    </row>
    <row r="20" customFormat="false" ht="15" hidden="false" customHeight="true" outlineLevel="0" collapsed="false">
      <c r="A20" s="6" t="s">
        <v>66</v>
      </c>
      <c r="B20" s="6" t="s">
        <v>29</v>
      </c>
      <c r="C20" s="7" t="s">
        <v>30</v>
      </c>
      <c r="D20" s="7" t="s">
        <v>25</v>
      </c>
      <c r="E20" s="7" t="s">
        <v>25</v>
      </c>
      <c r="F20" s="7" t="s">
        <v>20</v>
      </c>
      <c r="G20" s="7" t="s">
        <v>21</v>
      </c>
      <c r="H20" s="6" t="n">
        <v>50</v>
      </c>
      <c r="I20" s="6" t="s">
        <v>67</v>
      </c>
      <c r="J20" s="6" t="n">
        <v>0</v>
      </c>
      <c r="K20" s="6" t="s">
        <v>32</v>
      </c>
      <c r="L20" s="8" t="s">
        <v>68</v>
      </c>
      <c r="M20" s="6" t="n">
        <v>1.65</v>
      </c>
      <c r="N20" s="6" t="s">
        <v>34</v>
      </c>
    </row>
    <row r="21" customFormat="false" ht="15" hidden="false" customHeight="true" outlineLevel="0" collapsed="false">
      <c r="A21" s="6" t="s">
        <v>69</v>
      </c>
      <c r="B21" s="6" t="s">
        <v>70</v>
      </c>
      <c r="C21" s="6"/>
      <c r="D21" s="7" t="s">
        <v>25</v>
      </c>
      <c r="E21" s="7" t="s">
        <v>25</v>
      </c>
      <c r="F21" s="7" t="s">
        <v>20</v>
      </c>
      <c r="G21" s="7" t="s">
        <v>21</v>
      </c>
      <c r="H21" s="6" t="n">
        <v>50</v>
      </c>
      <c r="I21" s="6" t="s">
        <v>71</v>
      </c>
      <c r="J21" s="6" t="n">
        <v>1</v>
      </c>
      <c r="K21" s="6"/>
      <c r="L21" s="8" t="s">
        <v>72</v>
      </c>
      <c r="M21" s="6" t="n">
        <v>1.49</v>
      </c>
      <c r="N21" s="6"/>
    </row>
    <row r="22" customFormat="false" ht="15" hidden="false" customHeight="true" outlineLevel="0" collapsed="false">
      <c r="A22" s="6" t="s">
        <v>73</v>
      </c>
      <c r="B22" s="6" t="s">
        <v>29</v>
      </c>
      <c r="C22" s="7" t="s">
        <v>30</v>
      </c>
      <c r="D22" s="7" t="s">
        <v>25</v>
      </c>
      <c r="E22" s="7" t="s">
        <v>25</v>
      </c>
      <c r="F22" s="7" t="s">
        <v>20</v>
      </c>
      <c r="G22" s="7" t="s">
        <v>21</v>
      </c>
      <c r="H22" s="6" t="n">
        <v>50</v>
      </c>
      <c r="I22" s="6" t="s">
        <v>74</v>
      </c>
      <c r="J22" s="6" t="n">
        <v>0</v>
      </c>
      <c r="K22" s="6" t="s">
        <v>32</v>
      </c>
      <c r="L22" s="8" t="s">
        <v>75</v>
      </c>
      <c r="M22" s="6" t="n">
        <v>0.26</v>
      </c>
      <c r="N22" s="6" t="s">
        <v>34</v>
      </c>
    </row>
    <row r="23" customFormat="false" ht="15" hidden="false" customHeight="true" outlineLevel="0" collapsed="false">
      <c r="A23" s="6" t="s">
        <v>76</v>
      </c>
      <c r="B23" s="6" t="s">
        <v>70</v>
      </c>
      <c r="C23" s="7"/>
      <c r="D23" s="7" t="s">
        <v>25</v>
      </c>
      <c r="E23" s="7" t="s">
        <v>25</v>
      </c>
      <c r="F23" s="7" t="s">
        <v>20</v>
      </c>
      <c r="G23" s="7" t="s">
        <v>21</v>
      </c>
      <c r="H23" s="6" t="n">
        <v>50</v>
      </c>
      <c r="I23" s="6" t="s">
        <v>77</v>
      </c>
      <c r="J23" s="6" t="n">
        <v>1</v>
      </c>
      <c r="K23" s="6"/>
      <c r="L23" s="8" t="s">
        <v>78</v>
      </c>
      <c r="M23" s="6" t="n">
        <v>0.56</v>
      </c>
      <c r="N23" s="6"/>
    </row>
    <row r="24" customFormat="false" ht="15" hidden="false" customHeight="true" outlineLevel="0" collapsed="false">
      <c r="A24" s="6" t="s">
        <v>79</v>
      </c>
      <c r="B24" s="6" t="s">
        <v>29</v>
      </c>
      <c r="C24" s="7" t="s">
        <v>30</v>
      </c>
      <c r="D24" s="7" t="s">
        <v>25</v>
      </c>
      <c r="E24" s="7" t="s">
        <v>25</v>
      </c>
      <c r="F24" s="7" t="s">
        <v>20</v>
      </c>
      <c r="G24" s="7" t="s">
        <v>21</v>
      </c>
      <c r="H24" s="6" t="n">
        <v>50</v>
      </c>
      <c r="I24" s="6" t="s">
        <v>80</v>
      </c>
      <c r="J24" s="6" t="n">
        <v>0</v>
      </c>
      <c r="K24" s="6" t="s">
        <v>32</v>
      </c>
      <c r="L24" s="8" t="s">
        <v>81</v>
      </c>
      <c r="M24" s="6" t="n">
        <v>0.13</v>
      </c>
      <c r="N24" s="6" t="s">
        <v>34</v>
      </c>
    </row>
    <row r="25" customFormat="false" ht="15" hidden="false" customHeight="true" outlineLevel="0" collapsed="false">
      <c r="A25" s="6" t="s">
        <v>82</v>
      </c>
      <c r="B25" s="6" t="s">
        <v>29</v>
      </c>
      <c r="C25" s="7" t="s">
        <v>30</v>
      </c>
      <c r="D25" s="7" t="s">
        <v>25</v>
      </c>
      <c r="E25" s="7" t="s">
        <v>25</v>
      </c>
      <c r="F25" s="7" t="s">
        <v>20</v>
      </c>
      <c r="G25" s="7" t="s">
        <v>21</v>
      </c>
      <c r="H25" s="6" t="n">
        <v>50</v>
      </c>
      <c r="I25" s="6" t="s">
        <v>83</v>
      </c>
      <c r="J25" s="6" t="n">
        <v>0</v>
      </c>
      <c r="K25" s="6" t="s">
        <v>32</v>
      </c>
      <c r="L25" s="8" t="s">
        <v>84</v>
      </c>
      <c r="M25" s="6" t="n">
        <v>2.45</v>
      </c>
      <c r="N25" s="6" t="s">
        <v>41</v>
      </c>
    </row>
    <row r="26" customFormat="false" ht="15" hidden="false" customHeight="true" outlineLevel="0" collapsed="false">
      <c r="A26" s="6" t="s">
        <v>85</v>
      </c>
      <c r="B26" s="6" t="s">
        <v>29</v>
      </c>
      <c r="C26" s="7" t="s">
        <v>30</v>
      </c>
      <c r="D26" s="7" t="s">
        <v>25</v>
      </c>
      <c r="E26" s="7" t="s">
        <v>25</v>
      </c>
      <c r="F26" s="7" t="s">
        <v>20</v>
      </c>
      <c r="G26" s="7" t="s">
        <v>21</v>
      </c>
      <c r="H26" s="6" t="n">
        <v>50</v>
      </c>
      <c r="I26" s="6" t="s">
        <v>86</v>
      </c>
      <c r="J26" s="6" t="n">
        <v>0</v>
      </c>
      <c r="K26" s="6" t="s">
        <v>32</v>
      </c>
      <c r="L26" s="8" t="s">
        <v>87</v>
      </c>
      <c r="M26" s="6" t="n">
        <v>0.14</v>
      </c>
      <c r="N26" s="6" t="s">
        <v>34</v>
      </c>
    </row>
    <row r="27" customFormat="false" ht="15" hidden="false" customHeight="true" outlineLevel="0" collapsed="false">
      <c r="A27" s="6" t="s">
        <v>88</v>
      </c>
      <c r="B27" s="6" t="s">
        <v>29</v>
      </c>
      <c r="C27" s="7" t="s">
        <v>30</v>
      </c>
      <c r="D27" s="7" t="s">
        <v>25</v>
      </c>
      <c r="E27" s="7" t="s">
        <v>25</v>
      </c>
      <c r="F27" s="7" t="s">
        <v>20</v>
      </c>
      <c r="G27" s="7" t="s">
        <v>21</v>
      </c>
      <c r="H27" s="6" t="n">
        <v>50</v>
      </c>
      <c r="I27" s="6" t="s">
        <v>89</v>
      </c>
      <c r="J27" s="6" t="n">
        <v>0</v>
      </c>
      <c r="K27" s="6" t="s">
        <v>32</v>
      </c>
      <c r="L27" s="8" t="s">
        <v>90</v>
      </c>
      <c r="M27" s="6" t="n">
        <v>0.05</v>
      </c>
      <c r="N27" s="6" t="s">
        <v>34</v>
      </c>
    </row>
    <row r="28" customFormat="false" ht="15" hidden="false" customHeight="true" outlineLevel="0" collapsed="false">
      <c r="A28" s="6" t="s">
        <v>91</v>
      </c>
      <c r="B28" s="6" t="s">
        <v>29</v>
      </c>
      <c r="C28" s="7" t="s">
        <v>30</v>
      </c>
      <c r="D28" s="7" t="s">
        <v>25</v>
      </c>
      <c r="E28" s="7" t="s">
        <v>25</v>
      </c>
      <c r="F28" s="7" t="s">
        <v>20</v>
      </c>
      <c r="G28" s="7" t="s">
        <v>21</v>
      </c>
      <c r="H28" s="6" t="n">
        <v>50</v>
      </c>
      <c r="I28" s="6" t="s">
        <v>92</v>
      </c>
      <c r="J28" s="6" t="n">
        <v>0</v>
      </c>
      <c r="K28" s="6" t="s">
        <v>32</v>
      </c>
      <c r="L28" s="8" t="s">
        <v>93</v>
      </c>
      <c r="M28" s="6" t="n">
        <v>1.16</v>
      </c>
      <c r="N28" s="6" t="s">
        <v>34</v>
      </c>
    </row>
    <row r="29" customFormat="false" ht="15" hidden="false" customHeight="true" outlineLevel="0" collapsed="false">
      <c r="A29" s="6" t="s">
        <v>94</v>
      </c>
      <c r="B29" s="6" t="s">
        <v>29</v>
      </c>
      <c r="C29" s="7" t="s">
        <v>30</v>
      </c>
      <c r="D29" s="7" t="s">
        <v>25</v>
      </c>
      <c r="E29" s="7" t="s">
        <v>25</v>
      </c>
      <c r="F29" s="7" t="s">
        <v>20</v>
      </c>
      <c r="G29" s="7" t="s">
        <v>21</v>
      </c>
      <c r="H29" s="6" t="n">
        <v>50</v>
      </c>
      <c r="I29" s="6" t="s">
        <v>95</v>
      </c>
      <c r="J29" s="6" t="n">
        <v>0</v>
      </c>
      <c r="K29" s="6" t="s">
        <v>32</v>
      </c>
      <c r="L29" s="8" t="s">
        <v>96</v>
      </c>
      <c r="M29" s="6" t="n">
        <v>3.38</v>
      </c>
      <c r="N29" s="6" t="s">
        <v>41</v>
      </c>
    </row>
    <row r="30" customFormat="false" ht="15" hidden="false" customHeight="true" outlineLevel="0" collapsed="false">
      <c r="A30" s="6" t="s">
        <v>97</v>
      </c>
      <c r="B30" s="6" t="s">
        <v>29</v>
      </c>
      <c r="C30" s="7" t="s">
        <v>30</v>
      </c>
      <c r="D30" s="7" t="s">
        <v>25</v>
      </c>
      <c r="E30" s="7" t="s">
        <v>25</v>
      </c>
      <c r="F30" s="7" t="s">
        <v>20</v>
      </c>
      <c r="G30" s="7" t="s">
        <v>21</v>
      </c>
      <c r="H30" s="6" t="n">
        <v>50</v>
      </c>
      <c r="I30" s="6" t="s">
        <v>98</v>
      </c>
      <c r="J30" s="6" t="n">
        <v>0</v>
      </c>
      <c r="K30" s="6" t="s">
        <v>32</v>
      </c>
      <c r="L30" s="8" t="s">
        <v>99</v>
      </c>
      <c r="M30" s="6" t="n">
        <v>1.69</v>
      </c>
      <c r="N30" s="6" t="s">
        <v>34</v>
      </c>
    </row>
    <row r="31" customFormat="false" ht="15" hidden="false" customHeight="true" outlineLevel="0" collapsed="false">
      <c r="A31" s="6" t="s">
        <v>100</v>
      </c>
      <c r="B31" s="6" t="s">
        <v>29</v>
      </c>
      <c r="C31" s="7" t="s">
        <v>30</v>
      </c>
      <c r="D31" s="7" t="s">
        <v>25</v>
      </c>
      <c r="E31" s="7" t="s">
        <v>25</v>
      </c>
      <c r="F31" s="7" t="s">
        <v>20</v>
      </c>
      <c r="G31" s="7" t="s">
        <v>21</v>
      </c>
      <c r="H31" s="6" t="n">
        <v>50</v>
      </c>
      <c r="I31" s="6" t="s">
        <v>101</v>
      </c>
      <c r="J31" s="6" t="n">
        <v>0</v>
      </c>
      <c r="K31" s="6" t="s">
        <v>32</v>
      </c>
      <c r="L31" s="8" t="s">
        <v>102</v>
      </c>
      <c r="M31" s="6" t="n">
        <v>1.89</v>
      </c>
      <c r="N31" s="6" t="s">
        <v>41</v>
      </c>
    </row>
    <row r="32" customFormat="false" ht="15" hidden="false" customHeight="true" outlineLevel="0" collapsed="false">
      <c r="A32" s="6" t="s">
        <v>103</v>
      </c>
      <c r="B32" s="6" t="s">
        <v>29</v>
      </c>
      <c r="C32" s="7" t="s">
        <v>30</v>
      </c>
      <c r="D32" s="7" t="s">
        <v>25</v>
      </c>
      <c r="E32" s="7" t="s">
        <v>25</v>
      </c>
      <c r="F32" s="7" t="s">
        <v>20</v>
      </c>
      <c r="G32" s="7" t="s">
        <v>21</v>
      </c>
      <c r="H32" s="6" t="n">
        <v>50</v>
      </c>
      <c r="I32" s="6" t="s">
        <v>104</v>
      </c>
      <c r="J32" s="6" t="n">
        <v>0</v>
      </c>
      <c r="K32" s="6" t="s">
        <v>32</v>
      </c>
      <c r="L32" s="8" t="s">
        <v>105</v>
      </c>
      <c r="M32" s="6" t="n">
        <v>1.88</v>
      </c>
      <c r="N32" s="6" t="s">
        <v>41</v>
      </c>
    </row>
    <row r="33" customFormat="false" ht="15" hidden="false" customHeight="true" outlineLevel="0" collapsed="false">
      <c r="A33" s="6" t="s">
        <v>106</v>
      </c>
      <c r="B33" s="6" t="s">
        <v>29</v>
      </c>
      <c r="C33" s="7" t="s">
        <v>30</v>
      </c>
      <c r="D33" s="7" t="s">
        <v>25</v>
      </c>
      <c r="E33" s="7" t="s">
        <v>25</v>
      </c>
      <c r="F33" s="7" t="s">
        <v>20</v>
      </c>
      <c r="G33" s="7" t="s">
        <v>21</v>
      </c>
      <c r="H33" s="6" t="n">
        <v>50</v>
      </c>
      <c r="I33" s="6" t="s">
        <v>107</v>
      </c>
      <c r="J33" s="6" t="n">
        <v>0</v>
      </c>
      <c r="K33" s="6" t="s">
        <v>32</v>
      </c>
      <c r="L33" s="8" t="s">
        <v>108</v>
      </c>
      <c r="M33" s="6" t="n">
        <v>0.83</v>
      </c>
      <c r="N33" s="6" t="s">
        <v>34</v>
      </c>
    </row>
    <row r="34" customFormat="false" ht="15" hidden="false" customHeight="true" outlineLevel="0" collapsed="false">
      <c r="A34" s="6" t="s">
        <v>109</v>
      </c>
      <c r="B34" s="6" t="s">
        <v>29</v>
      </c>
      <c r="C34" s="7" t="s">
        <v>30</v>
      </c>
      <c r="D34" s="7" t="s">
        <v>25</v>
      </c>
      <c r="E34" s="7" t="s">
        <v>25</v>
      </c>
      <c r="F34" s="7" t="s">
        <v>20</v>
      </c>
      <c r="G34" s="7" t="s">
        <v>21</v>
      </c>
      <c r="H34" s="6" t="n">
        <v>50</v>
      </c>
      <c r="I34" s="6" t="s">
        <v>110</v>
      </c>
      <c r="J34" s="6" t="n">
        <v>0</v>
      </c>
      <c r="K34" s="6" t="s">
        <v>32</v>
      </c>
      <c r="L34" s="8" t="s">
        <v>111</v>
      </c>
      <c r="M34" s="6" t="n">
        <v>0.05</v>
      </c>
      <c r="N34" s="6" t="s">
        <v>34</v>
      </c>
    </row>
    <row r="35" customFormat="false" ht="15" hidden="false" customHeight="true" outlineLevel="0" collapsed="false">
      <c r="A35" s="6" t="s">
        <v>112</v>
      </c>
      <c r="B35" s="6" t="s">
        <v>70</v>
      </c>
      <c r="C35" s="6"/>
      <c r="D35" s="7" t="s">
        <v>25</v>
      </c>
      <c r="E35" s="7" t="s">
        <v>25</v>
      </c>
      <c r="F35" s="7" t="s">
        <v>20</v>
      </c>
      <c r="G35" s="7" t="s">
        <v>21</v>
      </c>
      <c r="H35" s="6" t="n">
        <v>50</v>
      </c>
      <c r="I35" s="6" t="s">
        <v>113</v>
      </c>
      <c r="J35" s="6" t="n">
        <v>4</v>
      </c>
      <c r="K35" s="6"/>
      <c r="L35" s="8" t="s">
        <v>114</v>
      </c>
      <c r="M35" s="6" t="n">
        <v>2.86</v>
      </c>
      <c r="N35" s="6"/>
    </row>
    <row r="36" customFormat="false" ht="15" hidden="false" customHeight="true" outlineLevel="0" collapsed="false">
      <c r="A36" s="6" t="s">
        <v>115</v>
      </c>
      <c r="B36" s="6" t="s">
        <v>29</v>
      </c>
      <c r="C36" s="7" t="s">
        <v>30</v>
      </c>
      <c r="D36" s="7" t="s">
        <v>25</v>
      </c>
      <c r="E36" s="7" t="s">
        <v>25</v>
      </c>
      <c r="F36" s="7" t="s">
        <v>20</v>
      </c>
      <c r="G36" s="7" t="s">
        <v>21</v>
      </c>
      <c r="H36" s="6" t="n">
        <v>50</v>
      </c>
      <c r="I36" s="6" t="s">
        <v>116</v>
      </c>
      <c r="J36" s="6" t="n">
        <v>0</v>
      </c>
      <c r="K36" s="6" t="s">
        <v>32</v>
      </c>
      <c r="L36" s="8" t="s">
        <v>117</v>
      </c>
      <c r="M36" s="6" t="n">
        <v>0.02</v>
      </c>
      <c r="N36" s="6" t="s">
        <v>34</v>
      </c>
    </row>
    <row r="37" customFormat="false" ht="15" hidden="false" customHeight="true" outlineLevel="0" collapsed="false">
      <c r="A37" s="6" t="s">
        <v>118</v>
      </c>
      <c r="B37" s="6" t="s">
        <v>29</v>
      </c>
      <c r="C37" s="7" t="s">
        <v>30</v>
      </c>
      <c r="D37" s="7" t="s">
        <v>25</v>
      </c>
      <c r="E37" s="7" t="s">
        <v>25</v>
      </c>
      <c r="F37" s="7" t="s">
        <v>20</v>
      </c>
      <c r="G37" s="7" t="s">
        <v>21</v>
      </c>
      <c r="H37" s="6" t="n">
        <v>50</v>
      </c>
      <c r="I37" s="6" t="s">
        <v>119</v>
      </c>
      <c r="J37" s="6" t="n">
        <v>0</v>
      </c>
      <c r="K37" s="6" t="s">
        <v>32</v>
      </c>
      <c r="L37" s="8" t="s">
        <v>120</v>
      </c>
      <c r="M37" s="6" t="n">
        <v>3.51</v>
      </c>
      <c r="N37" s="6" t="s">
        <v>41</v>
      </c>
    </row>
    <row r="38" customFormat="false" ht="15" hidden="false" customHeight="true" outlineLevel="0" collapsed="false">
      <c r="A38" s="6" t="s">
        <v>121</v>
      </c>
      <c r="B38" s="6" t="s">
        <v>29</v>
      </c>
      <c r="C38" s="7" t="s">
        <v>30</v>
      </c>
      <c r="D38" s="7" t="s">
        <v>25</v>
      </c>
      <c r="E38" s="7" t="s">
        <v>25</v>
      </c>
      <c r="F38" s="7" t="s">
        <v>20</v>
      </c>
      <c r="G38" s="7" t="s">
        <v>21</v>
      </c>
      <c r="H38" s="6" t="n">
        <v>50</v>
      </c>
      <c r="I38" s="6" t="s">
        <v>122</v>
      </c>
      <c r="J38" s="6" t="n">
        <v>0</v>
      </c>
      <c r="K38" s="6" t="s">
        <v>32</v>
      </c>
      <c r="L38" s="8" t="s">
        <v>123</v>
      </c>
      <c r="M38" s="6" t="n">
        <v>1.73</v>
      </c>
      <c r="N38" s="6" t="s">
        <v>34</v>
      </c>
    </row>
    <row r="39" customFormat="false" ht="15" hidden="false" customHeight="true" outlineLevel="0" collapsed="false">
      <c r="A39" s="6" t="s">
        <v>124</v>
      </c>
      <c r="B39" s="6" t="s">
        <v>29</v>
      </c>
      <c r="C39" s="7" t="s">
        <v>30</v>
      </c>
      <c r="D39" s="7" t="s">
        <v>25</v>
      </c>
      <c r="E39" s="7" t="s">
        <v>25</v>
      </c>
      <c r="F39" s="7" t="s">
        <v>20</v>
      </c>
      <c r="G39" s="7" t="s">
        <v>21</v>
      </c>
      <c r="H39" s="6" t="n">
        <v>50</v>
      </c>
      <c r="I39" s="6" t="s">
        <v>125</v>
      </c>
      <c r="J39" s="6" t="n">
        <v>0</v>
      </c>
      <c r="K39" s="6" t="s">
        <v>32</v>
      </c>
      <c r="L39" s="8" t="s">
        <v>126</v>
      </c>
      <c r="M39" s="6" t="n">
        <v>3.35</v>
      </c>
      <c r="N39" s="6" t="s">
        <v>41</v>
      </c>
    </row>
    <row r="40" customFormat="false" ht="15" hidden="false" customHeight="true" outlineLevel="0" collapsed="false">
      <c r="A40" s="6" t="s">
        <v>127</v>
      </c>
      <c r="B40" s="6" t="s">
        <v>29</v>
      </c>
      <c r="C40" s="7" t="s">
        <v>30</v>
      </c>
      <c r="D40" s="7" t="s">
        <v>25</v>
      </c>
      <c r="E40" s="7" t="s">
        <v>25</v>
      </c>
      <c r="F40" s="7" t="s">
        <v>20</v>
      </c>
      <c r="G40" s="7" t="s">
        <v>21</v>
      </c>
      <c r="H40" s="6" t="n">
        <v>50</v>
      </c>
      <c r="I40" s="6" t="s">
        <v>128</v>
      </c>
      <c r="J40" s="6" t="n">
        <v>0</v>
      </c>
      <c r="K40" s="6" t="s">
        <v>32</v>
      </c>
      <c r="L40" s="8" t="s">
        <v>129</v>
      </c>
      <c r="M40" s="6" t="n">
        <v>8.28</v>
      </c>
      <c r="N40" s="6" t="s">
        <v>41</v>
      </c>
    </row>
    <row r="41" customFormat="false" ht="15" hidden="false" customHeight="true" outlineLevel="0" collapsed="false">
      <c r="A41" s="6" t="s">
        <v>130</v>
      </c>
      <c r="B41" s="6" t="s">
        <v>29</v>
      </c>
      <c r="C41" s="7" t="s">
        <v>30</v>
      </c>
      <c r="D41" s="7" t="s">
        <v>25</v>
      </c>
      <c r="E41" s="7" t="s">
        <v>25</v>
      </c>
      <c r="F41" s="7" t="s">
        <v>20</v>
      </c>
      <c r="G41" s="7" t="s">
        <v>21</v>
      </c>
      <c r="H41" s="6" t="n">
        <v>50</v>
      </c>
      <c r="I41" s="6" t="s">
        <v>131</v>
      </c>
      <c r="J41" s="6" t="n">
        <v>0</v>
      </c>
      <c r="K41" s="6" t="s">
        <v>32</v>
      </c>
      <c r="L41" s="8" t="s">
        <v>132</v>
      </c>
      <c r="M41" s="6" t="n">
        <v>0.04</v>
      </c>
      <c r="N41" s="6" t="s">
        <v>34</v>
      </c>
    </row>
    <row r="42" customFormat="false" ht="15" hidden="false" customHeight="true" outlineLevel="0" collapsed="false">
      <c r="A42" s="6" t="s">
        <v>133</v>
      </c>
      <c r="B42" s="6" t="s">
        <v>29</v>
      </c>
      <c r="C42" s="7" t="s">
        <v>30</v>
      </c>
      <c r="D42" s="7" t="s">
        <v>25</v>
      </c>
      <c r="E42" s="7" t="s">
        <v>25</v>
      </c>
      <c r="F42" s="7" t="s">
        <v>20</v>
      </c>
      <c r="G42" s="7" t="s">
        <v>21</v>
      </c>
      <c r="H42" s="6" t="n">
        <v>50</v>
      </c>
      <c r="I42" s="6" t="s">
        <v>134</v>
      </c>
      <c r="J42" s="6" t="n">
        <v>0</v>
      </c>
      <c r="K42" s="6" t="s">
        <v>32</v>
      </c>
      <c r="L42" s="8" t="s">
        <v>135</v>
      </c>
      <c r="M42" s="6" t="n">
        <v>3.47</v>
      </c>
      <c r="N42" s="6" t="s">
        <v>41</v>
      </c>
    </row>
    <row r="43" customFormat="false" ht="15" hidden="false" customHeight="true" outlineLevel="0" collapsed="false">
      <c r="A43" s="6" t="s">
        <v>136</v>
      </c>
      <c r="B43" s="6" t="s">
        <v>137</v>
      </c>
      <c r="C43" s="7" t="s">
        <v>138</v>
      </c>
      <c r="D43" s="7" t="s">
        <v>25</v>
      </c>
      <c r="E43" s="7" t="s">
        <v>25</v>
      </c>
      <c r="F43" s="7" t="s">
        <v>20</v>
      </c>
      <c r="G43" s="7" t="s">
        <v>21</v>
      </c>
      <c r="H43" s="6" t="n">
        <v>50</v>
      </c>
      <c r="I43" s="6" t="s">
        <v>139</v>
      </c>
      <c r="J43" s="6" t="n">
        <v>4</v>
      </c>
      <c r="K43" s="6"/>
      <c r="L43" s="8" t="s">
        <v>140</v>
      </c>
      <c r="M43" s="6"/>
      <c r="N43" s="6"/>
    </row>
    <row r="44" customFormat="false" ht="15" hidden="false" customHeight="true" outlineLevel="0" collapsed="false">
      <c r="A44" s="6" t="s">
        <v>141</v>
      </c>
      <c r="B44" s="6" t="s">
        <v>137</v>
      </c>
      <c r="C44" s="7" t="s">
        <v>138</v>
      </c>
      <c r="D44" s="7" t="s">
        <v>25</v>
      </c>
      <c r="E44" s="7" t="s">
        <v>25</v>
      </c>
      <c r="F44" s="7" t="s">
        <v>20</v>
      </c>
      <c r="G44" s="7" t="s">
        <v>21</v>
      </c>
      <c r="H44" s="6" t="n">
        <v>50</v>
      </c>
      <c r="I44" s="6" t="s">
        <v>142</v>
      </c>
      <c r="J44" s="6" t="n">
        <v>4</v>
      </c>
      <c r="K44" s="6"/>
      <c r="L44" s="8" t="s">
        <v>143</v>
      </c>
      <c r="M44" s="6"/>
      <c r="N44" s="6"/>
    </row>
    <row r="45" customFormat="false" ht="15" hidden="false" customHeight="true" outlineLevel="0" collapsed="false">
      <c r="A45" s="6" t="s">
        <v>144</v>
      </c>
      <c r="B45" s="6" t="s">
        <v>137</v>
      </c>
      <c r="C45" s="7" t="s">
        <v>138</v>
      </c>
      <c r="D45" s="7" t="s">
        <v>25</v>
      </c>
      <c r="E45" s="7" t="s">
        <v>25</v>
      </c>
      <c r="F45" s="7" t="s">
        <v>20</v>
      </c>
      <c r="G45" s="7" t="s">
        <v>21</v>
      </c>
      <c r="H45" s="6" t="n">
        <v>50</v>
      </c>
      <c r="I45" s="6" t="s">
        <v>145</v>
      </c>
      <c r="J45" s="6" t="n">
        <v>4</v>
      </c>
      <c r="K45" s="6"/>
      <c r="L45" s="8" t="s">
        <v>146</v>
      </c>
      <c r="M45" s="6"/>
      <c r="N45" s="6"/>
    </row>
    <row r="46" customFormat="false" ht="15" hidden="false" customHeight="true" outlineLevel="0" collapsed="false">
      <c r="A46" s="6" t="s">
        <v>147</v>
      </c>
      <c r="B46" s="6" t="s">
        <v>137</v>
      </c>
      <c r="C46" s="7" t="s">
        <v>138</v>
      </c>
      <c r="D46" s="7" t="s">
        <v>25</v>
      </c>
      <c r="E46" s="7" t="s">
        <v>25</v>
      </c>
      <c r="F46" s="7" t="s">
        <v>20</v>
      </c>
      <c r="G46" s="7" t="s">
        <v>21</v>
      </c>
      <c r="H46" s="6" t="n">
        <v>50</v>
      </c>
      <c r="I46" s="6" t="s">
        <v>148</v>
      </c>
      <c r="J46" s="6" t="n">
        <v>4</v>
      </c>
      <c r="K46" s="6"/>
      <c r="L46" s="8" t="s">
        <v>149</v>
      </c>
      <c r="M46" s="6"/>
      <c r="N46" s="6"/>
    </row>
    <row r="47" customFormat="false" ht="15" hidden="false" customHeight="true" outlineLevel="0" collapsed="false">
      <c r="A47" s="6" t="s">
        <v>150</v>
      </c>
      <c r="B47" s="6" t="s">
        <v>137</v>
      </c>
      <c r="C47" s="7" t="s">
        <v>138</v>
      </c>
      <c r="D47" s="7" t="s">
        <v>25</v>
      </c>
      <c r="E47" s="7" t="s">
        <v>25</v>
      </c>
      <c r="F47" s="7" t="s">
        <v>20</v>
      </c>
      <c r="G47" s="7" t="s">
        <v>21</v>
      </c>
      <c r="H47" s="6" t="n">
        <v>50</v>
      </c>
      <c r="I47" s="6" t="s">
        <v>151</v>
      </c>
      <c r="J47" s="6" t="n">
        <v>4</v>
      </c>
      <c r="K47" s="6"/>
      <c r="L47" s="8" t="s">
        <v>152</v>
      </c>
      <c r="M47" s="6"/>
      <c r="N47" s="6"/>
    </row>
    <row r="48" customFormat="false" ht="15" hidden="false" customHeight="true" outlineLevel="0" collapsed="false">
      <c r="A48" s="6" t="s">
        <v>153</v>
      </c>
      <c r="B48" s="6" t="s">
        <v>137</v>
      </c>
      <c r="C48" s="7" t="s">
        <v>138</v>
      </c>
      <c r="D48" s="7" t="s">
        <v>25</v>
      </c>
      <c r="E48" s="7" t="s">
        <v>25</v>
      </c>
      <c r="F48" s="7" t="s">
        <v>20</v>
      </c>
      <c r="G48" s="7" t="s">
        <v>21</v>
      </c>
      <c r="H48" s="6" t="n">
        <v>50</v>
      </c>
      <c r="I48" s="6" t="s">
        <v>154</v>
      </c>
      <c r="J48" s="6" t="n">
        <v>4</v>
      </c>
      <c r="K48" s="6"/>
      <c r="L48" s="8" t="s">
        <v>155</v>
      </c>
      <c r="M48" s="6"/>
      <c r="N48" s="6"/>
    </row>
    <row r="49" customFormat="false" ht="15" hidden="false" customHeight="true" outlineLevel="0" collapsed="false">
      <c r="A49" s="6" t="s">
        <v>156</v>
      </c>
      <c r="B49" s="6" t="s">
        <v>137</v>
      </c>
      <c r="C49" s="7" t="s">
        <v>138</v>
      </c>
      <c r="D49" s="7" t="s">
        <v>25</v>
      </c>
      <c r="E49" s="7" t="s">
        <v>25</v>
      </c>
      <c r="F49" s="7" t="s">
        <v>20</v>
      </c>
      <c r="G49" s="7" t="s">
        <v>21</v>
      </c>
      <c r="H49" s="6" t="n">
        <v>50</v>
      </c>
      <c r="I49" s="6" t="s">
        <v>157</v>
      </c>
      <c r="J49" s="6" t="n">
        <v>4</v>
      </c>
      <c r="K49" s="6"/>
      <c r="L49" s="8" t="s">
        <v>158</v>
      </c>
      <c r="M49" s="6"/>
      <c r="N49" s="6"/>
    </row>
    <row r="50" customFormat="false" ht="15" hidden="false" customHeight="true" outlineLevel="0" collapsed="false">
      <c r="A50" s="6" t="s">
        <v>159</v>
      </c>
      <c r="B50" s="6" t="s">
        <v>137</v>
      </c>
      <c r="C50" s="7" t="s">
        <v>138</v>
      </c>
      <c r="D50" s="7" t="s">
        <v>25</v>
      </c>
      <c r="E50" s="7" t="s">
        <v>25</v>
      </c>
      <c r="F50" s="7" t="s">
        <v>20</v>
      </c>
      <c r="G50" s="7" t="s">
        <v>21</v>
      </c>
      <c r="H50" s="6" t="n">
        <v>50</v>
      </c>
      <c r="I50" s="6" t="s">
        <v>160</v>
      </c>
      <c r="J50" s="6" t="n">
        <v>4</v>
      </c>
      <c r="K50" s="6"/>
      <c r="L50" s="8" t="s">
        <v>161</v>
      </c>
      <c r="M50" s="6"/>
      <c r="N50" s="6"/>
    </row>
    <row r="51" customFormat="false" ht="15" hidden="false" customHeight="true" outlineLevel="0" collapsed="false">
      <c r="A51" s="6" t="s">
        <v>162</v>
      </c>
      <c r="B51" s="6" t="s">
        <v>137</v>
      </c>
      <c r="C51" s="7" t="s">
        <v>138</v>
      </c>
      <c r="D51" s="7" t="s">
        <v>25</v>
      </c>
      <c r="E51" s="7" t="s">
        <v>25</v>
      </c>
      <c r="F51" s="7" t="s">
        <v>20</v>
      </c>
      <c r="G51" s="7" t="s">
        <v>21</v>
      </c>
      <c r="H51" s="6" t="n">
        <v>50</v>
      </c>
      <c r="I51" s="6" t="s">
        <v>163</v>
      </c>
      <c r="J51" s="6" t="n">
        <v>4</v>
      </c>
      <c r="K51" s="6"/>
      <c r="L51" s="8" t="s">
        <v>164</v>
      </c>
      <c r="M51" s="6"/>
      <c r="N51" s="6"/>
    </row>
    <row r="52" customFormat="false" ht="15" hidden="false" customHeight="true" outlineLevel="0" collapsed="false">
      <c r="A52" s="6" t="s">
        <v>165</v>
      </c>
      <c r="B52" s="6"/>
      <c r="C52" s="7" t="s">
        <v>138</v>
      </c>
      <c r="D52" s="7" t="s">
        <v>25</v>
      </c>
      <c r="E52" s="7" t="s">
        <v>25</v>
      </c>
      <c r="F52" s="7" t="s">
        <v>20</v>
      </c>
      <c r="G52" s="7" t="s">
        <v>21</v>
      </c>
      <c r="H52" s="6" t="n">
        <v>50</v>
      </c>
      <c r="I52" s="6" t="s">
        <v>166</v>
      </c>
      <c r="J52" s="6"/>
      <c r="K52" s="6"/>
      <c r="L52" s="8" t="s">
        <v>167</v>
      </c>
      <c r="M52" s="6"/>
      <c r="N52" s="6"/>
    </row>
    <row r="53" customFormat="false" ht="15" hidden="false" customHeight="true" outlineLevel="0" collapsed="false">
      <c r="A53" s="6" t="s">
        <v>168</v>
      </c>
      <c r="B53" s="6" t="s">
        <v>137</v>
      </c>
      <c r="C53" s="7" t="s">
        <v>138</v>
      </c>
      <c r="D53" s="7" t="s">
        <v>25</v>
      </c>
      <c r="E53" s="7" t="s">
        <v>25</v>
      </c>
      <c r="F53" s="7" t="s">
        <v>20</v>
      </c>
      <c r="G53" s="7" t="s">
        <v>21</v>
      </c>
      <c r="H53" s="6" t="n">
        <v>50</v>
      </c>
      <c r="I53" s="6" t="s">
        <v>169</v>
      </c>
      <c r="J53" s="6" t="n">
        <v>4</v>
      </c>
      <c r="K53" s="6"/>
      <c r="L53" s="8" t="s">
        <v>170</v>
      </c>
      <c r="M53" s="6"/>
      <c r="N53" s="6"/>
    </row>
    <row r="54" customFormat="false" ht="15" hidden="false" customHeight="true" outlineLevel="0" collapsed="false">
      <c r="A54" s="6" t="s">
        <v>171</v>
      </c>
      <c r="B54" s="6" t="s">
        <v>137</v>
      </c>
      <c r="C54" s="7" t="s">
        <v>138</v>
      </c>
      <c r="D54" s="7" t="s">
        <v>25</v>
      </c>
      <c r="E54" s="7" t="s">
        <v>25</v>
      </c>
      <c r="F54" s="7" t="s">
        <v>20</v>
      </c>
      <c r="G54" s="7" t="s">
        <v>21</v>
      </c>
      <c r="H54" s="6" t="n">
        <v>50</v>
      </c>
      <c r="I54" s="6" t="s">
        <v>172</v>
      </c>
      <c r="J54" s="6" t="n">
        <v>4</v>
      </c>
      <c r="K54" s="6"/>
      <c r="L54" s="8" t="s">
        <v>173</v>
      </c>
      <c r="M54" s="6"/>
      <c r="N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7"/>
      <c r="G55" s="7"/>
      <c r="H55" s="6"/>
      <c r="I55" s="6"/>
      <c r="J55" s="6"/>
      <c r="K55" s="6"/>
      <c r="L55" s="6"/>
      <c r="M55" s="6"/>
      <c r="N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7"/>
      <c r="G56" s="7"/>
      <c r="H56" s="6"/>
      <c r="I56" s="6"/>
      <c r="J56" s="6"/>
      <c r="K56" s="6"/>
      <c r="L56" s="6"/>
      <c r="M56" s="6"/>
      <c r="N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7"/>
      <c r="G57" s="7"/>
      <c r="H57" s="6"/>
      <c r="I57" s="6"/>
      <c r="J57" s="6"/>
      <c r="K57" s="6"/>
      <c r="L57" s="6"/>
      <c r="M57" s="6"/>
      <c r="N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7"/>
      <c r="G58" s="7"/>
      <c r="H58" s="6"/>
      <c r="I58" s="6"/>
      <c r="J58" s="6"/>
      <c r="K58" s="6"/>
      <c r="L58" s="6"/>
      <c r="M58" s="6"/>
      <c r="N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7"/>
      <c r="G59" s="7"/>
      <c r="H59" s="6"/>
      <c r="I59" s="6"/>
      <c r="J59" s="6"/>
      <c r="K59" s="6"/>
      <c r="L59" s="6"/>
      <c r="M59" s="6"/>
      <c r="N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7"/>
      <c r="G60" s="7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7"/>
      <c r="G61" s="7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7"/>
      <c r="G62" s="7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7"/>
      <c r="G63" s="7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7"/>
      <c r="G64" s="7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7"/>
      <c r="G65" s="7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7"/>
      <c r="G66" s="7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7"/>
      <c r="G67" s="7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7"/>
      <c r="G68" s="7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7"/>
      <c r="G69" s="7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7"/>
      <c r="G70" s="7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7"/>
      <c r="G71" s="7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7"/>
      <c r="G72" s="7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7"/>
      <c r="G73" s="7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7"/>
      <c r="G74" s="7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7"/>
      <c r="G75" s="7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7"/>
      <c r="G76" s="7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7"/>
      <c r="G77" s="7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7"/>
      <c r="G78" s="7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7"/>
      <c r="G79" s="7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7"/>
      <c r="G80" s="7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7"/>
      <c r="G81" s="7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7"/>
      <c r="G82" s="7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7"/>
      <c r="G83" s="7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7"/>
      <c r="G84" s="7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7"/>
      <c r="G85" s="7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7"/>
      <c r="G86" s="7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7"/>
      <c r="G87" s="7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7"/>
      <c r="G88" s="7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7"/>
      <c r="G89" s="7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7"/>
      <c r="G90" s="7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7"/>
      <c r="G91" s="7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7"/>
      <c r="G92" s="7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7"/>
      <c r="G93" s="7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7"/>
      <c r="G94" s="7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7"/>
      <c r="G95" s="7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7"/>
      <c r="G96" s="7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7"/>
      <c r="G97" s="7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7"/>
      <c r="G98" s="7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7"/>
      <c r="G99" s="7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7"/>
      <c r="G100" s="7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7"/>
      <c r="G101" s="7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7"/>
      <c r="G102" s="7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7"/>
      <c r="G103" s="7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7"/>
      <c r="G104" s="7"/>
      <c r="H104" s="6"/>
      <c r="I104" s="6"/>
      <c r="J104" s="6"/>
      <c r="K104" s="6"/>
      <c r="L104" s="6"/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7"/>
      <c r="G105" s="7"/>
      <c r="H105" s="6"/>
      <c r="I105" s="6"/>
      <c r="J105" s="6"/>
      <c r="K105" s="6"/>
      <c r="L105" s="6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7"/>
      <c r="G106" s="7"/>
      <c r="H106" s="6"/>
      <c r="I106" s="6"/>
      <c r="J106" s="6"/>
      <c r="K106" s="6"/>
      <c r="L106" s="6"/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7"/>
      <c r="G107" s="7"/>
      <c r="H107" s="6"/>
      <c r="I107" s="6"/>
      <c r="J107" s="6"/>
      <c r="K107" s="6"/>
      <c r="L107" s="6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7"/>
      <c r="G108" s="7"/>
      <c r="H108" s="6"/>
      <c r="I108" s="6"/>
      <c r="J108" s="6"/>
      <c r="K108" s="6"/>
      <c r="L108" s="6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7"/>
      <c r="G109" s="7"/>
      <c r="H109" s="6"/>
      <c r="I109" s="6"/>
      <c r="J109" s="6"/>
      <c r="K109" s="6"/>
      <c r="L109" s="6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7"/>
      <c r="G110" s="7"/>
      <c r="H110" s="6"/>
      <c r="I110" s="6"/>
      <c r="J110" s="6"/>
      <c r="K110" s="6"/>
      <c r="L110" s="6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7"/>
      <c r="G111" s="7"/>
      <c r="H111" s="6"/>
      <c r="I111" s="6"/>
      <c r="J111" s="6"/>
      <c r="K111" s="6"/>
      <c r="L111" s="6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7"/>
      <c r="G112" s="7"/>
      <c r="H112" s="6"/>
      <c r="I112" s="6"/>
      <c r="J112" s="6"/>
      <c r="K112" s="6"/>
      <c r="L112" s="6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7"/>
      <c r="G113" s="7"/>
      <c r="H113" s="6"/>
      <c r="I113" s="6"/>
      <c r="J113" s="6"/>
      <c r="K113" s="6"/>
      <c r="L113" s="6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7"/>
      <c r="G114" s="7"/>
      <c r="H114" s="6"/>
      <c r="I114" s="6"/>
      <c r="J114" s="6"/>
      <c r="K114" s="6"/>
      <c r="L114" s="6"/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7"/>
      <c r="G115" s="7"/>
      <c r="H115" s="6"/>
      <c r="I115" s="6"/>
      <c r="J115" s="6"/>
      <c r="K115" s="6"/>
      <c r="L115" s="6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7"/>
      <c r="G116" s="7"/>
      <c r="H116" s="6"/>
      <c r="I116" s="6"/>
      <c r="J116" s="6"/>
      <c r="K116" s="6"/>
      <c r="L116" s="6"/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7"/>
      <c r="G117" s="7"/>
      <c r="H117" s="6"/>
      <c r="I117" s="6"/>
      <c r="J117" s="6"/>
      <c r="K117" s="6"/>
      <c r="L117" s="6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7"/>
      <c r="G118" s="7"/>
      <c r="H118" s="6"/>
      <c r="I118" s="6"/>
      <c r="J118" s="6"/>
      <c r="K118" s="6"/>
      <c r="L118" s="6"/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7"/>
      <c r="G119" s="7"/>
      <c r="H119" s="6"/>
      <c r="I119" s="6"/>
      <c r="J119" s="6"/>
      <c r="K119" s="6"/>
      <c r="L119" s="6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7"/>
      <c r="G120" s="7"/>
      <c r="H120" s="6"/>
      <c r="I120" s="6"/>
      <c r="J120" s="6"/>
      <c r="K120" s="6"/>
      <c r="L120" s="6"/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7"/>
      <c r="G121" s="7"/>
      <c r="H121" s="6"/>
      <c r="I121" s="6"/>
      <c r="J121" s="6"/>
      <c r="K121" s="6"/>
      <c r="L121" s="6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7"/>
      <c r="G122" s="7"/>
      <c r="H122" s="6"/>
      <c r="I122" s="6"/>
      <c r="J122" s="6"/>
      <c r="K122" s="6"/>
      <c r="L122" s="6"/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7"/>
      <c r="G123" s="7"/>
      <c r="H123" s="6"/>
      <c r="I123" s="6"/>
      <c r="J123" s="6"/>
      <c r="K123" s="6"/>
      <c r="L123" s="6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7"/>
      <c r="G124" s="7"/>
      <c r="H124" s="6"/>
      <c r="I124" s="6"/>
      <c r="J124" s="6"/>
      <c r="K124" s="6"/>
      <c r="L124" s="6"/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7"/>
      <c r="G125" s="7"/>
      <c r="H125" s="6"/>
      <c r="I125" s="6"/>
      <c r="J125" s="6"/>
      <c r="K125" s="6"/>
      <c r="L125" s="6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7"/>
      <c r="G126" s="7"/>
      <c r="H126" s="6"/>
      <c r="I126" s="6"/>
      <c r="J126" s="6"/>
      <c r="K126" s="6"/>
      <c r="L126" s="6"/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7"/>
      <c r="G127" s="7"/>
      <c r="H127" s="6"/>
      <c r="I127" s="6"/>
      <c r="J127" s="6"/>
      <c r="K127" s="6"/>
      <c r="L127" s="6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7"/>
      <c r="G128" s="7"/>
      <c r="H128" s="6"/>
      <c r="I128" s="6"/>
      <c r="J128" s="6"/>
      <c r="K128" s="6"/>
      <c r="L128" s="6"/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7"/>
      <c r="G129" s="7"/>
      <c r="H129" s="6"/>
      <c r="I129" s="6"/>
      <c r="J129" s="6"/>
      <c r="K129" s="6"/>
      <c r="L129" s="6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7"/>
      <c r="G130" s="7"/>
      <c r="H130" s="6"/>
      <c r="I130" s="6"/>
      <c r="J130" s="6"/>
      <c r="K130" s="6"/>
      <c r="L130" s="6"/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7"/>
      <c r="G131" s="7"/>
      <c r="H131" s="6"/>
      <c r="I131" s="6"/>
      <c r="J131" s="6"/>
      <c r="K131" s="6"/>
      <c r="L131" s="6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7"/>
      <c r="G132" s="7"/>
      <c r="H132" s="6"/>
      <c r="I132" s="6"/>
      <c r="J132" s="6"/>
      <c r="K132" s="6"/>
      <c r="L132" s="6"/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7"/>
      <c r="G133" s="7"/>
      <c r="H133" s="6"/>
      <c r="I133" s="6"/>
      <c r="J133" s="6"/>
      <c r="K133" s="6"/>
      <c r="L133" s="6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7"/>
      <c r="G134" s="7"/>
      <c r="H134" s="6"/>
      <c r="I134" s="6"/>
      <c r="J134" s="6"/>
      <c r="K134" s="6"/>
      <c r="L134" s="6"/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7"/>
      <c r="G135" s="7"/>
      <c r="H135" s="6"/>
      <c r="I135" s="6"/>
      <c r="J135" s="6"/>
      <c r="K135" s="6"/>
      <c r="L135" s="6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7"/>
      <c r="G136" s="7"/>
      <c r="H136" s="6"/>
      <c r="I136" s="6"/>
      <c r="J136" s="6"/>
      <c r="K136" s="6"/>
      <c r="L136" s="6"/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7"/>
      <c r="G137" s="7"/>
      <c r="H137" s="6"/>
      <c r="I137" s="6"/>
      <c r="J137" s="6"/>
      <c r="K137" s="6"/>
      <c r="L137" s="6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7"/>
      <c r="G138" s="7"/>
      <c r="H138" s="6"/>
      <c r="I138" s="6"/>
      <c r="J138" s="6"/>
      <c r="K138" s="6"/>
      <c r="L138" s="6"/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7"/>
      <c r="G139" s="7"/>
      <c r="H139" s="6"/>
      <c r="I139" s="6"/>
      <c r="J139" s="6"/>
      <c r="K139" s="6"/>
      <c r="L139" s="6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7"/>
      <c r="G140" s="7"/>
      <c r="H140" s="6"/>
      <c r="I140" s="6"/>
      <c r="J140" s="6"/>
      <c r="K140" s="6"/>
      <c r="L140" s="6"/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7"/>
      <c r="G141" s="7"/>
      <c r="H141" s="6"/>
      <c r="I141" s="6"/>
      <c r="J141" s="6"/>
      <c r="K141" s="6"/>
      <c r="L141" s="6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7"/>
      <c r="G142" s="7"/>
      <c r="H142" s="6"/>
      <c r="I142" s="6"/>
      <c r="J142" s="6"/>
      <c r="K142" s="6"/>
      <c r="L142" s="6"/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7"/>
      <c r="G143" s="7"/>
      <c r="H143" s="6"/>
      <c r="I143" s="6"/>
      <c r="J143" s="6"/>
      <c r="K143" s="6"/>
      <c r="L143" s="6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7"/>
      <c r="G144" s="7"/>
      <c r="H144" s="6"/>
      <c r="I144" s="6"/>
      <c r="J144" s="6"/>
      <c r="K144" s="6"/>
      <c r="L144" s="6"/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7"/>
      <c r="G145" s="7"/>
      <c r="H145" s="6"/>
      <c r="I145" s="6"/>
      <c r="J145" s="6"/>
      <c r="K145" s="6"/>
      <c r="L145" s="6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7"/>
      <c r="G146" s="7"/>
      <c r="H146" s="6"/>
      <c r="I146" s="6"/>
      <c r="J146" s="6"/>
      <c r="K146" s="6"/>
      <c r="L146" s="6"/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7"/>
      <c r="G147" s="7"/>
      <c r="H147" s="6"/>
      <c r="I147" s="6"/>
      <c r="J147" s="6"/>
      <c r="K147" s="6"/>
      <c r="L147" s="6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7"/>
      <c r="G148" s="7"/>
      <c r="H148" s="6"/>
      <c r="I148" s="6"/>
      <c r="J148" s="6"/>
      <c r="K148" s="6"/>
      <c r="L148" s="6"/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7"/>
      <c r="G149" s="7"/>
      <c r="H149" s="6"/>
      <c r="I149" s="6"/>
      <c r="J149" s="6"/>
      <c r="K149" s="6"/>
      <c r="L149" s="6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7"/>
      <c r="G150" s="7"/>
      <c r="H150" s="6"/>
      <c r="I150" s="6"/>
      <c r="J150" s="6"/>
      <c r="K150" s="6"/>
      <c r="L150" s="6"/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7"/>
      <c r="G151" s="7"/>
      <c r="H151" s="6"/>
      <c r="I151" s="6"/>
      <c r="J151" s="6"/>
      <c r="K151" s="6"/>
      <c r="L151" s="6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7"/>
      <c r="G152" s="7"/>
      <c r="H152" s="6"/>
      <c r="I152" s="6"/>
      <c r="J152" s="6"/>
      <c r="K152" s="6"/>
      <c r="L152" s="6"/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7"/>
      <c r="G153" s="7"/>
      <c r="H153" s="6"/>
      <c r="I153" s="6"/>
      <c r="J153" s="6"/>
      <c r="K153" s="6"/>
      <c r="L153" s="6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7"/>
      <c r="G154" s="7"/>
      <c r="H154" s="6"/>
      <c r="I154" s="6"/>
      <c r="J154" s="6"/>
      <c r="K154" s="6"/>
      <c r="L154" s="6"/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7"/>
      <c r="G155" s="7"/>
      <c r="H155" s="6"/>
      <c r="I155" s="6"/>
      <c r="J155" s="6"/>
      <c r="K155" s="6"/>
      <c r="L155" s="6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7"/>
      <c r="G156" s="7"/>
      <c r="H156" s="6"/>
      <c r="I156" s="6"/>
      <c r="J156" s="6"/>
      <c r="K156" s="6"/>
      <c r="L156" s="6"/>
    </row>
    <row r="157" customFormat="false" ht="15" hidden="false" customHeight="true" outlineLevel="0" collapsed="false"/>
  </sheetData>
  <dataValidations count="4">
    <dataValidation allowBlank="true" errorStyle="stop" operator="between" showDropDown="false" showErrorMessage="false" showInputMessage="false" sqref="B7:B157" type="list">
      <formula1>"pinhole,streak,uncoated_edge,scratch,none"</formula1>
      <formula2>0</formula2>
    </dataValidation>
    <dataValidation allowBlank="true" errorStyle="stop" operator="between" showDropDown="false" showErrorMessage="false" showInputMessage="false" sqref="C7:C157" type="list">
      <formula1>"면봉 압착,카드 속도 빠름,카드 속도 느림,카드 중단,이쑤시개 긋기,카드 흠집,기포 자연발생,정상 도포"</formula1>
      <formula2>0</formula2>
    </dataValidation>
    <dataValidation allowBlank="true" errorStyle="stop" operator="between" showDropDown="false" showErrorMessage="false" showInputMessage="false" sqref="F7:F157" type="list">
      <formula1>"무광,광택"</formula1>
      <formula2>0</formula2>
    </dataValidation>
    <dataValidation allowBlank="true" errorStyle="stop" operator="between" showDropDown="false" showErrorMessage="false" showInputMessage="false" sqref="G7:G157" type="list">
      <formula1>"정면확산,측면좌 15도,측면좌 30도,측면우 15도,측면우 30도"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34"/>
  </cols>
  <sheetData>
    <row r="1" customFormat="false" ht="15" hidden="false" customHeight="true" outlineLevel="0" collapsed="false">
      <c r="A1" s="9" t="s">
        <v>174</v>
      </c>
    </row>
    <row r="2" customFormat="false" ht="15" hidden="false" customHeight="true" outlineLevel="0" collapsed="false">
      <c r="A2" s="3" t="s">
        <v>175</v>
      </c>
    </row>
    <row r="4" customFormat="false" ht="15" hidden="false" customHeight="true" outlineLevel="0" collapsed="false">
      <c r="A4" s="10" t="s">
        <v>7</v>
      </c>
      <c r="B4" s="10" t="s">
        <v>8</v>
      </c>
      <c r="C4" s="10" t="s">
        <v>176</v>
      </c>
      <c r="D4" s="10" t="s">
        <v>177</v>
      </c>
      <c r="E4" s="10" t="s">
        <v>178</v>
      </c>
    </row>
    <row r="5" customFormat="false" ht="15" hidden="false" customHeight="true" outlineLevel="0" collapsed="false">
      <c r="A5" s="6" t="n">
        <v>1</v>
      </c>
      <c r="B5" s="6" t="s">
        <v>179</v>
      </c>
      <c r="C5" s="11" t="s">
        <v>180</v>
      </c>
      <c r="D5" s="12" t="s">
        <v>70</v>
      </c>
      <c r="E5" s="12"/>
    </row>
    <row r="6" customFormat="false" ht="15" hidden="false" customHeight="true" outlineLevel="0" collapsed="false">
      <c r="A6" s="6" t="n">
        <v>2</v>
      </c>
      <c r="B6" s="6" t="s">
        <v>19</v>
      </c>
      <c r="C6" s="11" t="s">
        <v>181</v>
      </c>
      <c r="D6" s="12" t="s">
        <v>182</v>
      </c>
      <c r="E6" s="12"/>
    </row>
    <row r="7" customFormat="false" ht="15" hidden="false" customHeight="true" outlineLevel="0" collapsed="false">
      <c r="A7" s="6" t="n">
        <v>3</v>
      </c>
      <c r="B7" s="6" t="s">
        <v>183</v>
      </c>
      <c r="C7" s="11" t="s">
        <v>184</v>
      </c>
      <c r="D7" s="12" t="s">
        <v>185</v>
      </c>
      <c r="E7" s="12"/>
    </row>
    <row r="8" customFormat="false" ht="15" hidden="false" customHeight="true" outlineLevel="0" collapsed="false">
      <c r="A8" s="6" t="n">
        <v>4</v>
      </c>
      <c r="B8" s="6" t="s">
        <v>186</v>
      </c>
      <c r="C8" s="11" t="s">
        <v>187</v>
      </c>
      <c r="D8" s="11" t="s">
        <v>188</v>
      </c>
      <c r="E8" s="12"/>
    </row>
    <row r="9" customFormat="false" ht="15" hidden="false" customHeight="true" outlineLevel="0" collapsed="false">
      <c r="A9" s="7" t="s">
        <v>25</v>
      </c>
      <c r="B9" s="7" t="s">
        <v>189</v>
      </c>
      <c r="C9" s="7" t="s">
        <v>180</v>
      </c>
      <c r="D9" s="6" t="s">
        <v>32</v>
      </c>
      <c r="E9" s="6" t="s">
        <v>190</v>
      </c>
    </row>
    <row r="10" customFormat="false" ht="15" hidden="false" customHeight="true" outlineLevel="0" collapsed="false">
      <c r="A10" s="6"/>
      <c r="B10" s="6"/>
      <c r="C10" s="6"/>
      <c r="D10" s="6"/>
      <c r="E10" s="6"/>
    </row>
    <row r="11" customFormat="false" ht="15" hidden="false" customHeight="true" outlineLevel="0" collapsed="false">
      <c r="A11" s="6"/>
      <c r="B11" s="6"/>
      <c r="C11" s="6"/>
      <c r="D11" s="6"/>
      <c r="E11" s="6"/>
    </row>
    <row r="12" customFormat="false" ht="15" hidden="false" customHeight="true" outlineLevel="0" collapsed="false">
      <c r="A12" s="6"/>
      <c r="B12" s="6"/>
      <c r="C12" s="6"/>
      <c r="D12" s="6"/>
      <c r="E12" s="6"/>
    </row>
    <row r="13" customFormat="false" ht="15" hidden="false" customHeight="true" outlineLevel="0" collapsed="false">
      <c r="A13" s="6"/>
      <c r="B13" s="6"/>
      <c r="C13" s="6"/>
      <c r="D13" s="6"/>
      <c r="E13" s="6"/>
    </row>
    <row r="14" customFormat="false" ht="15" hidden="false" customHeight="true" outlineLevel="0" collapsed="false">
      <c r="A14" s="6"/>
      <c r="B14" s="6"/>
      <c r="C14" s="6"/>
      <c r="D14" s="6"/>
      <c r="E1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0" width="60"/>
  </cols>
  <sheetData>
    <row r="1" customFormat="false" ht="15" hidden="false" customHeight="true" outlineLevel="0" collapsed="false">
      <c r="A1" s="9" t="s">
        <v>191</v>
      </c>
    </row>
    <row r="2" customFormat="false" ht="15" hidden="false" customHeight="true" outlineLevel="0" collapsed="false">
      <c r="A2" s="3" t="s">
        <v>192</v>
      </c>
    </row>
    <row r="4" customFormat="false" ht="15" hidden="false" customHeight="true" outlineLevel="0" collapsed="false">
      <c r="A4" s="10" t="s">
        <v>5</v>
      </c>
      <c r="B4" s="10" t="s">
        <v>193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</row>
    <row r="5" customFormat="false" ht="30" hidden="false" customHeight="true" outlineLevel="0" collapsed="false">
      <c r="A5" s="13" t="s">
        <v>137</v>
      </c>
      <c r="B5" s="14" t="s">
        <v>199</v>
      </c>
      <c r="C5" s="8" t="s">
        <v>200</v>
      </c>
      <c r="D5" s="8" t="s">
        <v>201</v>
      </c>
      <c r="E5" s="14" t="s">
        <v>202</v>
      </c>
      <c r="F5" s="13" t="n">
        <f aca="false">COUNTIF(촬영기록!$B:$B,$A5)</f>
        <v>11</v>
      </c>
      <c r="G5" s="15" t="s">
        <v>203</v>
      </c>
    </row>
    <row r="6" customFormat="false" ht="30" hidden="false" customHeight="true" outlineLevel="0" collapsed="false">
      <c r="A6" s="13" t="s">
        <v>70</v>
      </c>
      <c r="B6" s="14" t="s">
        <v>204</v>
      </c>
      <c r="C6" s="8" t="s">
        <v>205</v>
      </c>
      <c r="D6" s="8" t="s">
        <v>206</v>
      </c>
      <c r="E6" s="14" t="s">
        <v>207</v>
      </c>
      <c r="F6" s="13" t="n">
        <f aca="false">COUNTIF(촬영기록!$B:$B,$A6)</f>
        <v>3</v>
      </c>
      <c r="G6" s="16" t="s">
        <v>208</v>
      </c>
    </row>
    <row r="7" customFormat="false" ht="30" hidden="false" customHeight="true" outlineLevel="0" collapsed="false">
      <c r="A7" s="13" t="s">
        <v>185</v>
      </c>
      <c r="B7" s="14" t="s">
        <v>209</v>
      </c>
      <c r="C7" s="8" t="s">
        <v>210</v>
      </c>
      <c r="D7" s="8" t="s">
        <v>211</v>
      </c>
      <c r="E7" s="14" t="s">
        <v>212</v>
      </c>
      <c r="F7" s="13" t="n">
        <f aca="false">COUNTIF(촬영기록!$B:$B,$A7)</f>
        <v>0</v>
      </c>
      <c r="G7" s="15" t="s">
        <v>213</v>
      </c>
    </row>
    <row r="8" customFormat="false" ht="30" hidden="false" customHeight="true" outlineLevel="0" collapsed="false">
      <c r="A8" s="13" t="s">
        <v>214</v>
      </c>
      <c r="B8" s="14" t="s">
        <v>215</v>
      </c>
      <c r="C8" s="8" t="s">
        <v>216</v>
      </c>
      <c r="D8" s="8" t="s">
        <v>217</v>
      </c>
      <c r="E8" s="14" t="s">
        <v>207</v>
      </c>
      <c r="F8" s="13" t="n">
        <f aca="false">COUNTIF(촬영기록!$B:$B,$A8)</f>
        <v>0</v>
      </c>
      <c r="G8" s="15" t="s">
        <v>218</v>
      </c>
    </row>
    <row r="9" customFormat="false" ht="30" hidden="false" customHeight="true" outlineLevel="0" collapsed="false">
      <c r="A9" s="13" t="s">
        <v>29</v>
      </c>
      <c r="B9" s="14" t="s">
        <v>30</v>
      </c>
      <c r="C9" s="16" t="s">
        <v>32</v>
      </c>
      <c r="D9" s="8" t="s">
        <v>219</v>
      </c>
      <c r="E9" s="14" t="s">
        <v>220</v>
      </c>
      <c r="F9" s="13" t="n">
        <f aca="false">COUNTIF(촬영기록!$B:$B,$A9)</f>
        <v>29</v>
      </c>
      <c r="G9" s="16" t="s">
        <v>221</v>
      </c>
    </row>
    <row r="10" customFormat="false" ht="29.85" hidden="false" customHeight="false" outlineLevel="0" collapsed="false">
      <c r="A10" s="13" t="s">
        <v>222</v>
      </c>
      <c r="B10" s="14" t="s">
        <v>223</v>
      </c>
      <c r="C10" s="15" t="s">
        <v>224</v>
      </c>
      <c r="D10" s="8" t="s">
        <v>225</v>
      </c>
      <c r="E10" s="14" t="s">
        <v>226</v>
      </c>
      <c r="F10" s="13" t="s">
        <v>227</v>
      </c>
      <c r="G10" s="0" t="s">
        <v>228</v>
      </c>
    </row>
    <row r="11" customFormat="false" ht="15" hidden="false" customHeight="true" outlineLevel="0" collapsed="false">
      <c r="A11" s="13" t="s">
        <v>229</v>
      </c>
      <c r="B11" s="14" t="s">
        <v>230</v>
      </c>
      <c r="C11" s="15" t="s">
        <v>231</v>
      </c>
      <c r="D11" s="8" t="s">
        <v>232</v>
      </c>
      <c r="E11" s="14" t="s">
        <v>233</v>
      </c>
      <c r="F11" s="17" t="s">
        <v>234</v>
      </c>
      <c r="G11" s="18" t="s">
        <v>235</v>
      </c>
    </row>
    <row r="12" customFormat="false" ht="29.85" hidden="false" customHeight="false" outlineLevel="0" collapsed="false">
      <c r="A12" s="13" t="s">
        <v>236</v>
      </c>
      <c r="B12" s="14" t="s">
        <v>237</v>
      </c>
      <c r="C12" s="15" t="s">
        <v>238</v>
      </c>
      <c r="D12" s="8" t="s">
        <v>239</v>
      </c>
      <c r="E12" s="14" t="s">
        <v>240</v>
      </c>
      <c r="F12" s="17" t="s">
        <v>241</v>
      </c>
      <c r="G12" s="18" t="s">
        <v>242</v>
      </c>
    </row>
    <row r="14" customFormat="false" ht="15" hidden="false" customHeight="false" outlineLevel="0" collapsed="false">
      <c r="A14" s="19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2026-09-17T08:51:52Z</dcterms:created>
  <dc:creator>openpyxl</dc:creator>
  <dc:description/>
  <dc:language>en-US</dc:language>
  <cp:lastModifiedBy/>
  <dcterms:modified xsi:type="dcterms:W3CDTF">2026-10-15T09:08:33Z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